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rovumacp.sharepoint.com/sites/CriterionEnergyPartners/Shared Documents/Projects/Water Oak Project/Engineering/Timelines/"/>
    </mc:Choice>
  </mc:AlternateContent>
  <xr:revisionPtr revIDLastSave="173" documentId="8_{1935A835-AC1E-44B7-8F68-035DA408B50C}" xr6:coauthVersionLast="47" xr6:coauthVersionMax="47" xr10:uidLastSave="{843A9FBF-028F-492B-A26C-AC97EC66BFED}"/>
  <bookViews>
    <workbookView xWindow="21516" yWindow="3312" windowWidth="2904" windowHeight="1572" tabRatio="525" xr2:uid="{00000000-000D-0000-FFFF-FFFF00000000}"/>
  </bookViews>
  <sheets>
    <sheet name="Modeler" sheetId="4" r:id="rId1"/>
    <sheet name="Chart - Compl" sheetId="5" r:id="rId2"/>
  </sheets>
  <externalReferences>
    <externalReference r:id="rId3"/>
  </externalReferences>
  <definedNames>
    <definedName name="_xlnm._FilterDatabase" localSheetId="0" hidden="1">Modeler!$A$4:$X$47</definedName>
    <definedName name="JobSize">#REF!</definedName>
    <definedName name="_xlnm.Print_Area" localSheetId="0">Modeler!$AG$1:$BG$72</definedName>
    <definedName name="ReloadAmt">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F13" i="4" l="1"/>
  <c r="CF14" i="4" s="1"/>
  <c r="E130" i="4"/>
  <c r="H132" i="4"/>
  <c r="F138" i="4"/>
  <c r="D92" i="4"/>
  <c r="D18" i="4"/>
  <c r="H134" i="4"/>
  <c r="E143" i="4"/>
  <c r="E144" i="4"/>
  <c r="F145" i="4"/>
  <c r="E119" i="4"/>
  <c r="E131" i="4"/>
  <c r="E133" i="4"/>
  <c r="F96" i="4"/>
  <c r="F97" i="4"/>
  <c r="F98" i="4"/>
  <c r="F100" i="4"/>
  <c r="F105" i="4"/>
  <c r="F115" i="4"/>
  <c r="F119" i="4"/>
  <c r="H135" i="4"/>
  <c r="F139" i="4"/>
  <c r="F140" i="4"/>
  <c r="H141" i="4"/>
  <c r="F142" i="4"/>
  <c r="F56" i="4"/>
  <c r="F37" i="4"/>
  <c r="E38" i="4"/>
  <c r="F38" i="4"/>
  <c r="E42" i="4"/>
  <c r="F54" i="4"/>
  <c r="C7" i="4"/>
  <c r="E137" i="4"/>
  <c r="E146" i="4"/>
  <c r="E147" i="4"/>
  <c r="E148" i="4"/>
  <c r="E149" i="4"/>
  <c r="E150" i="4"/>
  <c r="G7" i="4"/>
  <c r="I7" i="4"/>
  <c r="J7" i="4"/>
  <c r="F8" i="4"/>
  <c r="I8" i="4"/>
  <c r="J8" i="4"/>
  <c r="G9" i="4"/>
  <c r="I9" i="4"/>
  <c r="J9" i="4"/>
  <c r="G10" i="4"/>
  <c r="I10" i="4"/>
  <c r="J10" i="4"/>
  <c r="G11" i="4"/>
  <c r="I11" i="4"/>
  <c r="J11" i="4"/>
  <c r="G12" i="4"/>
  <c r="I12" i="4"/>
  <c r="J12" i="4"/>
  <c r="G13" i="4"/>
  <c r="I13" i="4"/>
  <c r="J13" i="4"/>
  <c r="G14" i="4"/>
  <c r="I14" i="4"/>
  <c r="J14" i="4"/>
  <c r="G15" i="4"/>
  <c r="I15" i="4"/>
  <c r="J15" i="4"/>
  <c r="G16" i="4"/>
  <c r="I16" i="4"/>
  <c r="J16" i="4"/>
  <c r="G17" i="4"/>
  <c r="I17" i="4"/>
  <c r="J17" i="4"/>
  <c r="G18" i="4"/>
  <c r="I18" i="4"/>
  <c r="J18" i="4"/>
  <c r="G19" i="4"/>
  <c r="I19" i="4"/>
  <c r="J19" i="4"/>
  <c r="J20" i="4"/>
  <c r="G21" i="4"/>
  <c r="I21" i="4"/>
  <c r="J21" i="4"/>
  <c r="G22" i="4"/>
  <c r="I22" i="4"/>
  <c r="J22" i="4"/>
  <c r="G23" i="4"/>
  <c r="I23" i="4"/>
  <c r="J23" i="4"/>
  <c r="G24" i="4"/>
  <c r="I24" i="4"/>
  <c r="J24" i="4"/>
  <c r="G25" i="4"/>
  <c r="I25" i="4"/>
  <c r="J25" i="4"/>
  <c r="G26" i="4"/>
  <c r="I26" i="4"/>
  <c r="J26" i="4"/>
  <c r="G27" i="4"/>
  <c r="I27" i="4"/>
  <c r="J27" i="4"/>
  <c r="G28" i="4"/>
  <c r="I28" i="4"/>
  <c r="J28" i="4"/>
  <c r="G29" i="4"/>
  <c r="I29" i="4"/>
  <c r="J29" i="4"/>
  <c r="G30" i="4"/>
  <c r="I30" i="4"/>
  <c r="J30" i="4"/>
  <c r="G31" i="4"/>
  <c r="I31" i="4"/>
  <c r="J31" i="4"/>
  <c r="G32" i="4"/>
  <c r="I32" i="4"/>
  <c r="J32" i="4"/>
  <c r="G33" i="4"/>
  <c r="I33" i="4"/>
  <c r="J33" i="4"/>
  <c r="G34" i="4"/>
  <c r="I34" i="4"/>
  <c r="J34" i="4"/>
  <c r="G35" i="4"/>
  <c r="I35" i="4"/>
  <c r="J35" i="4"/>
  <c r="G36" i="4"/>
  <c r="I36" i="4"/>
  <c r="J36" i="4"/>
  <c r="I37" i="4"/>
  <c r="J37" i="4"/>
  <c r="I38" i="4"/>
  <c r="J38" i="4"/>
  <c r="G39" i="4"/>
  <c r="I39" i="4"/>
  <c r="J39" i="4"/>
  <c r="G40" i="4"/>
  <c r="I40" i="4"/>
  <c r="J40" i="4"/>
  <c r="G41" i="4"/>
  <c r="I41" i="4"/>
  <c r="J41" i="4"/>
  <c r="G42" i="4"/>
  <c r="I42" i="4"/>
  <c r="J42" i="4"/>
  <c r="G43" i="4"/>
  <c r="I43" i="4"/>
  <c r="J43" i="4"/>
  <c r="G44" i="4"/>
  <c r="I44" i="4"/>
  <c r="J44" i="4"/>
  <c r="G45" i="4"/>
  <c r="I45" i="4"/>
  <c r="J45" i="4"/>
  <c r="G46" i="4"/>
  <c r="I46" i="4"/>
  <c r="J46" i="4"/>
  <c r="G47" i="4"/>
  <c r="I47" i="4"/>
  <c r="J47" i="4"/>
  <c r="G48" i="4"/>
  <c r="I48" i="4"/>
  <c r="J48" i="4"/>
  <c r="G49" i="4"/>
  <c r="I49" i="4"/>
  <c r="J49" i="4"/>
  <c r="G50" i="4"/>
  <c r="I50" i="4"/>
  <c r="J50" i="4"/>
  <c r="G51" i="4"/>
  <c r="I51" i="4"/>
  <c r="J51" i="4"/>
  <c r="G52" i="4"/>
  <c r="I52" i="4"/>
  <c r="J52" i="4"/>
  <c r="G53" i="4"/>
  <c r="I53" i="4"/>
  <c r="J53" i="4"/>
  <c r="G54" i="4"/>
  <c r="I54" i="4"/>
  <c r="J54" i="4"/>
  <c r="G55" i="4"/>
  <c r="I55" i="4"/>
  <c r="J55" i="4"/>
  <c r="G56" i="4"/>
  <c r="I56" i="4"/>
  <c r="J56" i="4"/>
  <c r="G57" i="4"/>
  <c r="I57" i="4"/>
  <c r="J57" i="4"/>
  <c r="G58" i="4"/>
  <c r="I58" i="4"/>
  <c r="J58" i="4"/>
  <c r="G59" i="4"/>
  <c r="I59" i="4"/>
  <c r="J59" i="4"/>
  <c r="G60" i="4"/>
  <c r="I60" i="4"/>
  <c r="J60" i="4"/>
  <c r="G61" i="4"/>
  <c r="I61" i="4"/>
  <c r="J61" i="4"/>
  <c r="G62" i="4"/>
  <c r="I62" i="4"/>
  <c r="J62" i="4"/>
  <c r="G63" i="4"/>
  <c r="I63" i="4"/>
  <c r="J63" i="4"/>
  <c r="G64" i="4"/>
  <c r="I64" i="4"/>
  <c r="J64" i="4"/>
  <c r="G65" i="4"/>
  <c r="I65" i="4"/>
  <c r="J65" i="4"/>
  <c r="G66" i="4"/>
  <c r="I66" i="4"/>
  <c r="J66" i="4"/>
  <c r="G67" i="4"/>
  <c r="I67" i="4"/>
  <c r="J67" i="4"/>
  <c r="G68" i="4"/>
  <c r="I68" i="4"/>
  <c r="J68" i="4"/>
  <c r="G69" i="4"/>
  <c r="I69" i="4"/>
  <c r="J69" i="4"/>
  <c r="G70" i="4"/>
  <c r="I70" i="4"/>
  <c r="J70" i="4"/>
  <c r="G71" i="4"/>
  <c r="I71" i="4"/>
  <c r="J71" i="4"/>
  <c r="G72" i="4"/>
  <c r="I72" i="4"/>
  <c r="J72" i="4"/>
  <c r="G73" i="4"/>
  <c r="I73" i="4"/>
  <c r="J73" i="4"/>
  <c r="G74" i="4"/>
  <c r="I74" i="4"/>
  <c r="J74" i="4"/>
  <c r="G75" i="4"/>
  <c r="I75" i="4"/>
  <c r="J75" i="4"/>
  <c r="G76" i="4"/>
  <c r="I76" i="4"/>
  <c r="J76" i="4"/>
  <c r="G77" i="4"/>
  <c r="I77" i="4"/>
  <c r="J77" i="4"/>
  <c r="G78" i="4"/>
  <c r="I78" i="4"/>
  <c r="J78" i="4"/>
  <c r="G79" i="4"/>
  <c r="I79" i="4"/>
  <c r="J79" i="4"/>
  <c r="G80" i="4"/>
  <c r="I80" i="4"/>
  <c r="J80" i="4"/>
  <c r="G81" i="4"/>
  <c r="I81" i="4"/>
  <c r="J81" i="4"/>
  <c r="G82" i="4"/>
  <c r="I82" i="4"/>
  <c r="J82" i="4"/>
  <c r="G83" i="4"/>
  <c r="I83" i="4"/>
  <c r="J83" i="4"/>
  <c r="G84" i="4"/>
  <c r="I84" i="4"/>
  <c r="J84" i="4"/>
  <c r="G85" i="4"/>
  <c r="I85" i="4"/>
  <c r="J85" i="4"/>
  <c r="G86" i="4"/>
  <c r="I86" i="4"/>
  <c r="J86" i="4"/>
  <c r="G87" i="4"/>
  <c r="I87" i="4"/>
  <c r="J87" i="4"/>
  <c r="G88" i="4"/>
  <c r="I88" i="4"/>
  <c r="J88" i="4"/>
  <c r="G89" i="4"/>
  <c r="I89" i="4"/>
  <c r="J89" i="4"/>
  <c r="G90" i="4"/>
  <c r="I90" i="4"/>
  <c r="J90" i="4"/>
  <c r="I91" i="4"/>
  <c r="J91" i="4"/>
  <c r="I92" i="4"/>
  <c r="J92" i="4"/>
  <c r="G93" i="4"/>
  <c r="I93" i="4"/>
  <c r="J93" i="4"/>
  <c r="G94" i="4"/>
  <c r="I94" i="4"/>
  <c r="J94" i="4"/>
  <c r="F95" i="4"/>
  <c r="I95" i="4"/>
  <c r="J95" i="4"/>
  <c r="I96" i="4"/>
  <c r="J96" i="4"/>
  <c r="I97" i="4"/>
  <c r="J97" i="4"/>
  <c r="I98" i="4"/>
  <c r="J98" i="4"/>
  <c r="I99" i="4"/>
  <c r="J99" i="4"/>
  <c r="I100" i="4"/>
  <c r="J100" i="4"/>
  <c r="F101" i="4"/>
  <c r="I101" i="4"/>
  <c r="J101" i="4"/>
  <c r="G102" i="4"/>
  <c r="I102" i="4"/>
  <c r="J102" i="4"/>
  <c r="G103" i="4"/>
  <c r="H103" i="4"/>
  <c r="I103" i="4"/>
  <c r="J103" i="4"/>
  <c r="G104" i="4"/>
  <c r="H104" i="4"/>
  <c r="I104" i="4"/>
  <c r="J104" i="4"/>
  <c r="I105" i="4"/>
  <c r="J105" i="4"/>
  <c r="G106" i="4"/>
  <c r="H106" i="4"/>
  <c r="I106" i="4"/>
  <c r="J106" i="4"/>
  <c r="H107" i="4"/>
  <c r="I107" i="4"/>
  <c r="J107" i="4"/>
  <c r="G108" i="4"/>
  <c r="H108" i="4"/>
  <c r="I108" i="4"/>
  <c r="J108" i="4"/>
  <c r="H109" i="4"/>
  <c r="I109" i="4"/>
  <c r="J109" i="4"/>
  <c r="G110" i="4"/>
  <c r="H110" i="4"/>
  <c r="I110" i="4"/>
  <c r="J110" i="4"/>
  <c r="H111" i="4"/>
  <c r="I111" i="4"/>
  <c r="J111" i="4"/>
  <c r="G112" i="4"/>
  <c r="H112" i="4"/>
  <c r="I112" i="4"/>
  <c r="J112" i="4"/>
  <c r="G113" i="4"/>
  <c r="I113" i="4"/>
  <c r="J113" i="4"/>
  <c r="G114" i="4"/>
  <c r="I114" i="4"/>
  <c r="J114" i="4"/>
  <c r="I115" i="4"/>
  <c r="J115" i="4"/>
  <c r="G116" i="4"/>
  <c r="H116" i="4"/>
  <c r="I116" i="4"/>
  <c r="J116" i="4"/>
  <c r="I117" i="4"/>
  <c r="J117" i="4"/>
  <c r="G118" i="4"/>
  <c r="H118" i="4"/>
  <c r="I118" i="4"/>
  <c r="J118" i="4"/>
  <c r="I119" i="4"/>
  <c r="J119" i="4"/>
  <c r="G120" i="4"/>
  <c r="H120" i="4"/>
  <c r="I120" i="4"/>
  <c r="J120" i="4"/>
  <c r="G121" i="4"/>
  <c r="I121" i="4"/>
  <c r="J121" i="4"/>
  <c r="G122" i="4"/>
  <c r="I122" i="4"/>
  <c r="J122" i="4"/>
  <c r="G123" i="4"/>
  <c r="I123" i="4"/>
  <c r="J123" i="4"/>
  <c r="G124" i="4"/>
  <c r="I124" i="4"/>
  <c r="J124" i="4"/>
  <c r="G125" i="4"/>
  <c r="I125" i="4"/>
  <c r="J125" i="4"/>
  <c r="G126" i="4"/>
  <c r="I126" i="4"/>
  <c r="J126" i="4"/>
  <c r="G127" i="4"/>
  <c r="I127" i="4"/>
  <c r="J127" i="4"/>
  <c r="G128" i="4"/>
  <c r="I128" i="4"/>
  <c r="J128" i="4"/>
  <c r="G129" i="4"/>
  <c r="I129" i="4"/>
  <c r="J129" i="4"/>
  <c r="G130" i="4"/>
  <c r="I130" i="4"/>
  <c r="J130" i="4"/>
  <c r="I131" i="4"/>
  <c r="J131" i="4"/>
  <c r="I132" i="4"/>
  <c r="J132" i="4"/>
  <c r="G133" i="4"/>
  <c r="H133" i="4"/>
  <c r="I133" i="4"/>
  <c r="J133" i="4"/>
  <c r="G134" i="4"/>
  <c r="I134" i="4"/>
  <c r="J134" i="4"/>
  <c r="G135" i="4"/>
  <c r="I135" i="4"/>
  <c r="J135" i="4"/>
  <c r="G136" i="4"/>
  <c r="H136" i="4"/>
  <c r="I136" i="4"/>
  <c r="J136" i="4"/>
  <c r="G137" i="4"/>
  <c r="H137" i="4"/>
  <c r="I137" i="4"/>
  <c r="J137" i="4"/>
  <c r="G138" i="4"/>
  <c r="H138" i="4"/>
  <c r="I138" i="4"/>
  <c r="J138" i="4"/>
  <c r="G139" i="4"/>
  <c r="H139" i="4"/>
  <c r="I139" i="4"/>
  <c r="J139" i="4"/>
  <c r="G140" i="4"/>
  <c r="H140" i="4"/>
  <c r="I140" i="4"/>
  <c r="J140" i="4"/>
  <c r="F141" i="4"/>
  <c r="G141" i="4"/>
  <c r="I141" i="4"/>
  <c r="J141" i="4"/>
  <c r="G142" i="4"/>
  <c r="H142" i="4"/>
  <c r="I142" i="4"/>
  <c r="J142" i="4"/>
  <c r="G143" i="4"/>
  <c r="I143" i="4"/>
  <c r="J143" i="4"/>
  <c r="G144" i="4"/>
  <c r="I144" i="4"/>
  <c r="J144" i="4"/>
  <c r="G145" i="4"/>
  <c r="I145" i="4"/>
  <c r="J145" i="4"/>
  <c r="F146" i="4"/>
  <c r="G146" i="4"/>
  <c r="H146" i="4"/>
  <c r="I146" i="4"/>
  <c r="J146" i="4"/>
  <c r="F147" i="4"/>
  <c r="G147" i="4"/>
  <c r="H147" i="4"/>
  <c r="I147" i="4"/>
  <c r="J147" i="4"/>
  <c r="F148" i="4"/>
  <c r="G148" i="4"/>
  <c r="H148" i="4"/>
  <c r="I148" i="4"/>
  <c r="J148" i="4"/>
  <c r="F149" i="4"/>
  <c r="G149" i="4"/>
  <c r="H149" i="4"/>
  <c r="I149" i="4"/>
  <c r="J149" i="4"/>
  <c r="F150" i="4"/>
  <c r="G150" i="4"/>
  <c r="H150" i="4"/>
  <c r="I150" i="4"/>
  <c r="J150" i="4"/>
  <c r="J4" i="4"/>
  <c r="E4" i="4"/>
  <c r="F4" i="4"/>
  <c r="G4" i="4"/>
  <c r="H4" i="4"/>
  <c r="I4" i="4"/>
  <c r="D4" i="4"/>
  <c r="C4" i="4"/>
  <c r="B4" i="4"/>
  <c r="E100" i="4"/>
  <c r="E101" i="4"/>
  <c r="E117" i="4"/>
  <c r="E132" i="4"/>
  <c r="E136" i="4"/>
  <c r="E138" i="4"/>
  <c r="E139" i="4"/>
  <c r="E140" i="4"/>
  <c r="E141" i="4"/>
  <c r="E142" i="4"/>
  <c r="H143" i="4"/>
  <c r="H144" i="4"/>
  <c r="H145" i="4"/>
  <c r="D145" i="4"/>
  <c r="D9" i="4"/>
  <c r="D10" i="4"/>
  <c r="D11" i="4"/>
  <c r="D12" i="4"/>
  <c r="D13" i="4"/>
  <c r="D14" i="4"/>
  <c r="D15" i="4"/>
  <c r="D16" i="4"/>
  <c r="D17" i="4"/>
  <c r="D19" i="4"/>
  <c r="D20" i="4"/>
  <c r="D21" i="4"/>
  <c r="D22" i="4"/>
  <c r="D23" i="4"/>
  <c r="D24" i="4"/>
  <c r="D25" i="4"/>
  <c r="D26" i="4"/>
  <c r="D27" i="4"/>
  <c r="D29" i="4"/>
  <c r="D30" i="4"/>
  <c r="D32" i="4"/>
  <c r="D33" i="4"/>
  <c r="D35" i="4"/>
  <c r="D36" i="4"/>
  <c r="D37" i="4"/>
  <c r="D38" i="4"/>
  <c r="D39" i="4"/>
  <c r="D40" i="4"/>
  <c r="D41" i="4"/>
  <c r="D44" i="4"/>
  <c r="D45" i="4"/>
  <c r="D48" i="4"/>
  <c r="D51" i="4"/>
  <c r="D53" i="4"/>
  <c r="D54" i="4"/>
  <c r="D55" i="4"/>
  <c r="D56" i="4"/>
  <c r="D57" i="4"/>
  <c r="D58" i="4"/>
  <c r="D62" i="4"/>
  <c r="D71" i="4"/>
  <c r="D72" i="4"/>
  <c r="D73" i="4"/>
  <c r="D74" i="4"/>
  <c r="D76" i="4"/>
  <c r="D77" i="4"/>
  <c r="D78" i="4"/>
  <c r="D79" i="4"/>
  <c r="D80" i="4"/>
  <c r="D81" i="4"/>
  <c r="D82" i="4"/>
  <c r="D83" i="4"/>
  <c r="D84" i="4"/>
  <c r="D85" i="4"/>
  <c r="D86" i="4"/>
  <c r="D88" i="4"/>
  <c r="D89" i="4"/>
  <c r="D90" i="4"/>
  <c r="D91" i="4"/>
  <c r="D95" i="4"/>
  <c r="D121" i="4"/>
  <c r="D123" i="4"/>
  <c r="D124" i="4"/>
  <c r="D126" i="4"/>
  <c r="D127" i="4"/>
  <c r="D134" i="4"/>
  <c r="D137" i="4"/>
  <c r="D138" i="4"/>
  <c r="D139" i="4"/>
  <c r="D140" i="4"/>
  <c r="D141" i="4"/>
  <c r="D142" i="4"/>
  <c r="D143" i="4"/>
  <c r="D144" i="4"/>
  <c r="D146" i="4"/>
  <c r="D147" i="4"/>
  <c r="D148" i="4"/>
  <c r="D149" i="4"/>
  <c r="D150" i="4"/>
  <c r="AE150" i="4"/>
  <c r="AD150" i="4"/>
  <c r="AC150" i="4"/>
  <c r="AB150" i="4"/>
  <c r="AA150" i="4"/>
  <c r="Z150" i="4"/>
  <c r="Y150" i="4"/>
  <c r="X150" i="4"/>
  <c r="W150" i="4"/>
  <c r="V150" i="4"/>
  <c r="U150" i="4"/>
  <c r="T150" i="4"/>
  <c r="S150" i="4"/>
  <c r="R150" i="4"/>
  <c r="Q150" i="4"/>
  <c r="P150" i="4"/>
  <c r="O150" i="4"/>
  <c r="N150" i="4"/>
  <c r="M150" i="4"/>
  <c r="L150" i="4"/>
  <c r="K150" i="4"/>
  <c r="C150" i="4"/>
  <c r="B150" i="4"/>
  <c r="A150" i="4"/>
  <c r="AE149" i="4"/>
  <c r="AD149" i="4"/>
  <c r="AC149" i="4"/>
  <c r="AB149" i="4"/>
  <c r="AA149" i="4"/>
  <c r="Z149" i="4"/>
  <c r="Y149" i="4"/>
  <c r="X149" i="4"/>
  <c r="W149" i="4"/>
  <c r="V149" i="4"/>
  <c r="U149" i="4"/>
  <c r="T149" i="4"/>
  <c r="S149" i="4"/>
  <c r="R149" i="4"/>
  <c r="Q149" i="4"/>
  <c r="P149" i="4"/>
  <c r="O149" i="4"/>
  <c r="N149" i="4"/>
  <c r="M149" i="4"/>
  <c r="L149" i="4"/>
  <c r="K149" i="4"/>
  <c r="C149" i="4"/>
  <c r="B149" i="4"/>
  <c r="A149" i="4"/>
  <c r="AE148" i="4"/>
  <c r="AD148" i="4"/>
  <c r="AC148" i="4"/>
  <c r="AB148" i="4"/>
  <c r="AA148" i="4"/>
  <c r="Z148" i="4"/>
  <c r="Y148" i="4"/>
  <c r="X148" i="4"/>
  <c r="W148" i="4"/>
  <c r="V148" i="4"/>
  <c r="U148" i="4"/>
  <c r="T148" i="4"/>
  <c r="S148" i="4"/>
  <c r="R148" i="4"/>
  <c r="Q148" i="4"/>
  <c r="P148" i="4"/>
  <c r="O148" i="4"/>
  <c r="N148" i="4"/>
  <c r="M148" i="4"/>
  <c r="L148" i="4"/>
  <c r="K148" i="4"/>
  <c r="C148" i="4"/>
  <c r="B148" i="4"/>
  <c r="A148" i="4"/>
  <c r="AE147" i="4"/>
  <c r="AD147" i="4"/>
  <c r="AC147" i="4"/>
  <c r="AB147" i="4"/>
  <c r="AA147" i="4"/>
  <c r="Z147" i="4"/>
  <c r="Y147" i="4"/>
  <c r="X147" i="4"/>
  <c r="W147" i="4"/>
  <c r="V147" i="4"/>
  <c r="U147" i="4"/>
  <c r="T147" i="4"/>
  <c r="S147" i="4"/>
  <c r="R147" i="4"/>
  <c r="Q147" i="4"/>
  <c r="P147" i="4"/>
  <c r="O147" i="4"/>
  <c r="N147" i="4"/>
  <c r="M147" i="4"/>
  <c r="L147" i="4"/>
  <c r="K147" i="4"/>
  <c r="C147" i="4"/>
  <c r="B147" i="4"/>
  <c r="A147" i="4"/>
  <c r="AE146" i="4"/>
  <c r="AD146" i="4"/>
  <c r="AC146" i="4"/>
  <c r="AB146" i="4"/>
  <c r="AA146" i="4"/>
  <c r="Z146" i="4"/>
  <c r="Y146" i="4"/>
  <c r="X146" i="4"/>
  <c r="W146" i="4"/>
  <c r="V146" i="4"/>
  <c r="U146" i="4"/>
  <c r="T146" i="4"/>
  <c r="S146" i="4"/>
  <c r="R146" i="4"/>
  <c r="Q146" i="4"/>
  <c r="P146" i="4"/>
  <c r="O146" i="4"/>
  <c r="N146" i="4"/>
  <c r="M146" i="4"/>
  <c r="L146" i="4"/>
  <c r="K146" i="4"/>
  <c r="C146" i="4"/>
  <c r="B146" i="4"/>
  <c r="A146" i="4"/>
  <c r="AE145" i="4"/>
  <c r="AD145" i="4"/>
  <c r="AC145" i="4"/>
  <c r="AB145" i="4"/>
  <c r="AA145" i="4"/>
  <c r="Z145" i="4"/>
  <c r="Y145" i="4"/>
  <c r="X145" i="4"/>
  <c r="W145" i="4"/>
  <c r="V145" i="4"/>
  <c r="U145" i="4"/>
  <c r="T145" i="4"/>
  <c r="S145" i="4"/>
  <c r="R145" i="4"/>
  <c r="Q145" i="4"/>
  <c r="P145" i="4"/>
  <c r="O145" i="4"/>
  <c r="N145" i="4"/>
  <c r="M145" i="4"/>
  <c r="L145" i="4"/>
  <c r="C145" i="4"/>
  <c r="B145" i="4"/>
  <c r="A145" i="4"/>
  <c r="AE144" i="4"/>
  <c r="AD144" i="4"/>
  <c r="AC144" i="4"/>
  <c r="AB144" i="4"/>
  <c r="AA144" i="4"/>
  <c r="Z144" i="4"/>
  <c r="Y144" i="4"/>
  <c r="X144" i="4"/>
  <c r="W144" i="4"/>
  <c r="V144" i="4"/>
  <c r="U144" i="4"/>
  <c r="T144" i="4"/>
  <c r="S144" i="4"/>
  <c r="R144" i="4"/>
  <c r="Q144" i="4"/>
  <c r="P144" i="4"/>
  <c r="O144" i="4"/>
  <c r="N144" i="4"/>
  <c r="M144" i="4"/>
  <c r="L144" i="4"/>
  <c r="C144" i="4"/>
  <c r="B144" i="4"/>
  <c r="A144" i="4"/>
  <c r="AE143" i="4"/>
  <c r="AD143" i="4"/>
  <c r="AC143" i="4"/>
  <c r="AB143" i="4"/>
  <c r="AA143" i="4"/>
  <c r="Z143" i="4"/>
  <c r="Y143" i="4"/>
  <c r="X143" i="4"/>
  <c r="W143" i="4"/>
  <c r="V143" i="4"/>
  <c r="U143" i="4"/>
  <c r="T143" i="4"/>
  <c r="S143" i="4"/>
  <c r="R143" i="4"/>
  <c r="Q143" i="4"/>
  <c r="P143" i="4"/>
  <c r="O143" i="4"/>
  <c r="N143" i="4"/>
  <c r="M143" i="4"/>
  <c r="L143" i="4"/>
  <c r="C143" i="4"/>
  <c r="B143" i="4"/>
  <c r="A143" i="4"/>
  <c r="AE142" i="4"/>
  <c r="AD142" i="4"/>
  <c r="AC142" i="4"/>
  <c r="AB142" i="4"/>
  <c r="AA142" i="4"/>
  <c r="Z142" i="4"/>
  <c r="Y142" i="4"/>
  <c r="X142" i="4"/>
  <c r="W142" i="4"/>
  <c r="V142" i="4"/>
  <c r="U142" i="4"/>
  <c r="T142" i="4"/>
  <c r="S142" i="4"/>
  <c r="R142" i="4"/>
  <c r="Q142" i="4"/>
  <c r="P142" i="4"/>
  <c r="O142" i="4"/>
  <c r="N142" i="4"/>
  <c r="M142" i="4"/>
  <c r="L142" i="4"/>
  <c r="C142" i="4"/>
  <c r="B142" i="4"/>
  <c r="A142" i="4"/>
  <c r="AE141" i="4"/>
  <c r="AD141" i="4"/>
  <c r="AC141" i="4"/>
  <c r="AB141" i="4"/>
  <c r="AA141" i="4"/>
  <c r="Z141" i="4"/>
  <c r="Y141" i="4"/>
  <c r="X141" i="4"/>
  <c r="W141" i="4"/>
  <c r="V141" i="4"/>
  <c r="U141" i="4"/>
  <c r="T141" i="4"/>
  <c r="S141" i="4"/>
  <c r="R141" i="4"/>
  <c r="Q141" i="4"/>
  <c r="P141" i="4"/>
  <c r="O141" i="4"/>
  <c r="N141" i="4"/>
  <c r="M141" i="4"/>
  <c r="L141" i="4"/>
  <c r="C141" i="4"/>
  <c r="B141" i="4"/>
  <c r="A141" i="4"/>
  <c r="AE140" i="4"/>
  <c r="AD140" i="4"/>
  <c r="AC140" i="4"/>
  <c r="AB140" i="4"/>
  <c r="AA140" i="4"/>
  <c r="Z140" i="4"/>
  <c r="Y140" i="4"/>
  <c r="X140" i="4"/>
  <c r="W140" i="4"/>
  <c r="V140" i="4"/>
  <c r="U140" i="4"/>
  <c r="T140" i="4"/>
  <c r="S140" i="4"/>
  <c r="R140" i="4"/>
  <c r="Q140" i="4"/>
  <c r="P140" i="4"/>
  <c r="O140" i="4"/>
  <c r="N140" i="4"/>
  <c r="M140" i="4"/>
  <c r="L140" i="4"/>
  <c r="C140" i="4"/>
  <c r="B140" i="4"/>
  <c r="A140" i="4"/>
  <c r="AE139" i="4"/>
  <c r="AD139" i="4"/>
  <c r="AC139" i="4"/>
  <c r="AB139" i="4"/>
  <c r="AA139" i="4"/>
  <c r="Z139" i="4"/>
  <c r="Y139" i="4"/>
  <c r="X139" i="4"/>
  <c r="W139" i="4"/>
  <c r="V139" i="4"/>
  <c r="U139" i="4"/>
  <c r="T139" i="4"/>
  <c r="S139" i="4"/>
  <c r="R139" i="4"/>
  <c r="Q139" i="4"/>
  <c r="P139" i="4"/>
  <c r="O139" i="4"/>
  <c r="N139" i="4"/>
  <c r="M139" i="4"/>
  <c r="L139" i="4"/>
  <c r="C139" i="4"/>
  <c r="B139" i="4"/>
  <c r="A139" i="4"/>
  <c r="AE138" i="4"/>
  <c r="AD138" i="4"/>
  <c r="AC138" i="4"/>
  <c r="AB138" i="4"/>
  <c r="AA138" i="4"/>
  <c r="Z138" i="4"/>
  <c r="Y138" i="4"/>
  <c r="X138" i="4"/>
  <c r="W138" i="4"/>
  <c r="V138" i="4"/>
  <c r="U138" i="4"/>
  <c r="T138" i="4"/>
  <c r="S138" i="4"/>
  <c r="R138" i="4"/>
  <c r="Q138" i="4"/>
  <c r="P138" i="4"/>
  <c r="O138" i="4"/>
  <c r="N138" i="4"/>
  <c r="M138" i="4"/>
  <c r="L138" i="4"/>
  <c r="C138" i="4"/>
  <c r="B138" i="4"/>
  <c r="A138" i="4"/>
  <c r="AE137" i="4"/>
  <c r="AD137" i="4"/>
  <c r="AC137" i="4"/>
  <c r="AB137" i="4"/>
  <c r="AA137" i="4"/>
  <c r="Z137" i="4"/>
  <c r="Y137" i="4"/>
  <c r="X137" i="4"/>
  <c r="W137" i="4"/>
  <c r="V137" i="4"/>
  <c r="U137" i="4"/>
  <c r="T137" i="4"/>
  <c r="S137" i="4"/>
  <c r="R137" i="4"/>
  <c r="Q137" i="4"/>
  <c r="P137" i="4"/>
  <c r="O137" i="4"/>
  <c r="N137" i="4"/>
  <c r="M137" i="4"/>
  <c r="L137" i="4"/>
  <c r="C137" i="4"/>
  <c r="B137" i="4"/>
  <c r="A137" i="4"/>
  <c r="AE136" i="4"/>
  <c r="AD136" i="4"/>
  <c r="AC136" i="4"/>
  <c r="AB136" i="4"/>
  <c r="AA136" i="4"/>
  <c r="Z136" i="4"/>
  <c r="Y136" i="4"/>
  <c r="X136" i="4"/>
  <c r="W136" i="4"/>
  <c r="V136" i="4"/>
  <c r="U136" i="4"/>
  <c r="T136" i="4"/>
  <c r="S136" i="4"/>
  <c r="R136" i="4"/>
  <c r="Q136" i="4"/>
  <c r="P136" i="4"/>
  <c r="O136" i="4"/>
  <c r="N136" i="4"/>
  <c r="M136" i="4"/>
  <c r="L136" i="4"/>
  <c r="C136" i="4"/>
  <c r="B136" i="4"/>
  <c r="A136" i="4"/>
  <c r="AE135" i="4"/>
  <c r="AD135" i="4"/>
  <c r="AC135" i="4"/>
  <c r="AB135" i="4"/>
  <c r="AA135" i="4"/>
  <c r="Z135" i="4"/>
  <c r="Y135" i="4"/>
  <c r="X135" i="4"/>
  <c r="W135" i="4"/>
  <c r="V135" i="4"/>
  <c r="U135" i="4"/>
  <c r="T135" i="4"/>
  <c r="S135" i="4"/>
  <c r="R135" i="4"/>
  <c r="Q135" i="4"/>
  <c r="P135" i="4"/>
  <c r="O135" i="4"/>
  <c r="N135" i="4"/>
  <c r="M135" i="4"/>
  <c r="L135" i="4"/>
  <c r="C135" i="4"/>
  <c r="B135" i="4"/>
  <c r="A135" i="4"/>
  <c r="AE134" i="4"/>
  <c r="AD134" i="4"/>
  <c r="AC134" i="4"/>
  <c r="AB134" i="4"/>
  <c r="AA134" i="4"/>
  <c r="Z134" i="4"/>
  <c r="Y134" i="4"/>
  <c r="X134" i="4"/>
  <c r="W134" i="4"/>
  <c r="V134" i="4"/>
  <c r="U134" i="4"/>
  <c r="T134" i="4"/>
  <c r="S134" i="4"/>
  <c r="R134" i="4"/>
  <c r="Q134" i="4"/>
  <c r="P134" i="4"/>
  <c r="O134" i="4"/>
  <c r="N134" i="4"/>
  <c r="M134" i="4"/>
  <c r="L134" i="4"/>
  <c r="C134" i="4"/>
  <c r="B134" i="4"/>
  <c r="A134" i="4"/>
  <c r="AE133" i="4"/>
  <c r="AD133" i="4"/>
  <c r="AC133" i="4"/>
  <c r="AB133" i="4"/>
  <c r="AA133" i="4"/>
  <c r="Z133" i="4"/>
  <c r="Y133" i="4"/>
  <c r="X133" i="4"/>
  <c r="W133" i="4"/>
  <c r="V133" i="4"/>
  <c r="U133" i="4"/>
  <c r="T133" i="4"/>
  <c r="S133" i="4"/>
  <c r="R133" i="4"/>
  <c r="Q133" i="4"/>
  <c r="P133" i="4"/>
  <c r="O133" i="4"/>
  <c r="N133" i="4"/>
  <c r="M133" i="4"/>
  <c r="L133" i="4"/>
  <c r="C133" i="4"/>
  <c r="B133" i="4"/>
  <c r="A133" i="4"/>
  <c r="AE132" i="4"/>
  <c r="AD132" i="4"/>
  <c r="AC132" i="4"/>
  <c r="AB132" i="4"/>
  <c r="AA132" i="4"/>
  <c r="Z132" i="4"/>
  <c r="Y132" i="4"/>
  <c r="X132" i="4"/>
  <c r="W132" i="4"/>
  <c r="V132" i="4"/>
  <c r="U132" i="4"/>
  <c r="T132" i="4"/>
  <c r="S132" i="4"/>
  <c r="R132" i="4"/>
  <c r="Q132" i="4"/>
  <c r="P132" i="4"/>
  <c r="O132" i="4"/>
  <c r="N132" i="4"/>
  <c r="M132" i="4"/>
  <c r="L132" i="4"/>
  <c r="C132" i="4"/>
  <c r="B132" i="4"/>
  <c r="A132" i="4"/>
  <c r="AE131" i="4"/>
  <c r="AD131" i="4"/>
  <c r="AC131" i="4"/>
  <c r="AB131" i="4"/>
  <c r="AA131" i="4"/>
  <c r="Z131" i="4"/>
  <c r="Y131" i="4"/>
  <c r="X131" i="4"/>
  <c r="W131" i="4"/>
  <c r="V131" i="4"/>
  <c r="U131" i="4"/>
  <c r="T131" i="4"/>
  <c r="S131" i="4"/>
  <c r="R131" i="4"/>
  <c r="Q131" i="4"/>
  <c r="P131" i="4"/>
  <c r="O131" i="4"/>
  <c r="N131" i="4"/>
  <c r="M131" i="4"/>
  <c r="L131" i="4"/>
  <c r="C131" i="4"/>
  <c r="B131" i="4"/>
  <c r="A131" i="4"/>
  <c r="AE130" i="4"/>
  <c r="AD130" i="4"/>
  <c r="AC130" i="4"/>
  <c r="AB130" i="4"/>
  <c r="AA130" i="4"/>
  <c r="Z130" i="4"/>
  <c r="Y130" i="4"/>
  <c r="X130" i="4"/>
  <c r="W130" i="4"/>
  <c r="V130" i="4"/>
  <c r="U130" i="4"/>
  <c r="T130" i="4"/>
  <c r="S130" i="4"/>
  <c r="R130" i="4"/>
  <c r="Q130" i="4"/>
  <c r="P130" i="4"/>
  <c r="O130" i="4"/>
  <c r="N130" i="4"/>
  <c r="M130" i="4"/>
  <c r="L130" i="4"/>
  <c r="C130" i="4"/>
  <c r="B130" i="4"/>
  <c r="A130" i="4"/>
  <c r="AE129" i="4"/>
  <c r="AD129" i="4"/>
  <c r="AC129" i="4"/>
  <c r="AB129" i="4"/>
  <c r="AA129" i="4"/>
  <c r="Z129" i="4"/>
  <c r="Y129" i="4"/>
  <c r="X129" i="4"/>
  <c r="W129" i="4"/>
  <c r="V129" i="4"/>
  <c r="U129" i="4"/>
  <c r="T129" i="4"/>
  <c r="S129" i="4"/>
  <c r="R129" i="4"/>
  <c r="Q129" i="4"/>
  <c r="P129" i="4"/>
  <c r="O129" i="4"/>
  <c r="N129" i="4"/>
  <c r="M129" i="4"/>
  <c r="L129" i="4"/>
  <c r="C129" i="4"/>
  <c r="B129" i="4"/>
  <c r="A129" i="4"/>
  <c r="AE128" i="4"/>
  <c r="AD128" i="4"/>
  <c r="AC128" i="4"/>
  <c r="AB128" i="4"/>
  <c r="AA128" i="4"/>
  <c r="Z128" i="4"/>
  <c r="Y128" i="4"/>
  <c r="X128" i="4"/>
  <c r="W128" i="4"/>
  <c r="V128" i="4"/>
  <c r="U128" i="4"/>
  <c r="T128" i="4"/>
  <c r="S128" i="4"/>
  <c r="R128" i="4"/>
  <c r="Q128" i="4"/>
  <c r="P128" i="4"/>
  <c r="O128" i="4"/>
  <c r="N128" i="4"/>
  <c r="M128" i="4"/>
  <c r="L128" i="4"/>
  <c r="C128" i="4"/>
  <c r="B128" i="4"/>
  <c r="A128" i="4"/>
  <c r="AE127" i="4"/>
  <c r="AD127" i="4"/>
  <c r="AC127" i="4"/>
  <c r="AB127" i="4"/>
  <c r="AA127" i="4"/>
  <c r="Z127" i="4"/>
  <c r="Y127" i="4"/>
  <c r="X127" i="4"/>
  <c r="W127" i="4"/>
  <c r="V127" i="4"/>
  <c r="U127" i="4"/>
  <c r="T127" i="4"/>
  <c r="S127" i="4"/>
  <c r="R127" i="4"/>
  <c r="Q127" i="4"/>
  <c r="P127" i="4"/>
  <c r="O127" i="4"/>
  <c r="N127" i="4"/>
  <c r="M127" i="4"/>
  <c r="L127" i="4"/>
  <c r="C127" i="4"/>
  <c r="B127" i="4"/>
  <c r="A127" i="4"/>
  <c r="AE126" i="4"/>
  <c r="AD126" i="4"/>
  <c r="AC126" i="4"/>
  <c r="AB126" i="4"/>
  <c r="AA126" i="4"/>
  <c r="Z126" i="4"/>
  <c r="Y126" i="4"/>
  <c r="X126" i="4"/>
  <c r="W126" i="4"/>
  <c r="V126" i="4"/>
  <c r="U126" i="4"/>
  <c r="T126" i="4"/>
  <c r="S126" i="4"/>
  <c r="R126" i="4"/>
  <c r="Q126" i="4"/>
  <c r="P126" i="4"/>
  <c r="O126" i="4"/>
  <c r="N126" i="4"/>
  <c r="M126" i="4"/>
  <c r="L126" i="4"/>
  <c r="C126" i="4"/>
  <c r="B126" i="4"/>
  <c r="A126" i="4"/>
  <c r="AE125" i="4"/>
  <c r="AD125" i="4"/>
  <c r="AC125" i="4"/>
  <c r="AB125" i="4"/>
  <c r="AA125" i="4"/>
  <c r="Z125" i="4"/>
  <c r="Y125" i="4"/>
  <c r="X125" i="4"/>
  <c r="W125" i="4"/>
  <c r="V125" i="4"/>
  <c r="U125" i="4"/>
  <c r="T125" i="4"/>
  <c r="S125" i="4"/>
  <c r="R125" i="4"/>
  <c r="Q125" i="4"/>
  <c r="P125" i="4"/>
  <c r="O125" i="4"/>
  <c r="N125" i="4"/>
  <c r="M125" i="4"/>
  <c r="L125" i="4"/>
  <c r="C125" i="4"/>
  <c r="B125" i="4"/>
  <c r="A125" i="4"/>
  <c r="AE124" i="4"/>
  <c r="AD124" i="4"/>
  <c r="AC124" i="4"/>
  <c r="AB124" i="4"/>
  <c r="AA124" i="4"/>
  <c r="Z124" i="4"/>
  <c r="Y124" i="4"/>
  <c r="X124" i="4"/>
  <c r="W124" i="4"/>
  <c r="V124" i="4"/>
  <c r="U124" i="4"/>
  <c r="T124" i="4"/>
  <c r="S124" i="4"/>
  <c r="R124" i="4"/>
  <c r="Q124" i="4"/>
  <c r="P124" i="4"/>
  <c r="O124" i="4"/>
  <c r="N124" i="4"/>
  <c r="M124" i="4"/>
  <c r="L124" i="4"/>
  <c r="C124" i="4"/>
  <c r="B124" i="4"/>
  <c r="A124" i="4"/>
  <c r="AE123" i="4"/>
  <c r="AD123" i="4"/>
  <c r="AC123" i="4"/>
  <c r="AB123" i="4"/>
  <c r="AA123" i="4"/>
  <c r="Z123" i="4"/>
  <c r="Y123" i="4"/>
  <c r="X123" i="4"/>
  <c r="W123" i="4"/>
  <c r="V123" i="4"/>
  <c r="U123" i="4"/>
  <c r="T123" i="4"/>
  <c r="S123" i="4"/>
  <c r="R123" i="4"/>
  <c r="Q123" i="4"/>
  <c r="P123" i="4"/>
  <c r="O123" i="4"/>
  <c r="N123" i="4"/>
  <c r="M123" i="4"/>
  <c r="L123" i="4"/>
  <c r="C123" i="4"/>
  <c r="B123" i="4"/>
  <c r="A123" i="4"/>
  <c r="AE122" i="4"/>
  <c r="AD122" i="4"/>
  <c r="AC122" i="4"/>
  <c r="AB122" i="4"/>
  <c r="AA122" i="4"/>
  <c r="Z122" i="4"/>
  <c r="Y122" i="4"/>
  <c r="X122" i="4"/>
  <c r="W122" i="4"/>
  <c r="V122" i="4"/>
  <c r="U122" i="4"/>
  <c r="T122" i="4"/>
  <c r="S122" i="4"/>
  <c r="R122" i="4"/>
  <c r="Q122" i="4"/>
  <c r="P122" i="4"/>
  <c r="O122" i="4"/>
  <c r="N122" i="4"/>
  <c r="M122" i="4"/>
  <c r="L122" i="4"/>
  <c r="C122" i="4"/>
  <c r="B122" i="4"/>
  <c r="A122" i="4"/>
  <c r="AE121" i="4"/>
  <c r="AD121" i="4"/>
  <c r="AC121" i="4"/>
  <c r="AB121" i="4"/>
  <c r="AA121" i="4"/>
  <c r="Z121" i="4"/>
  <c r="Y121" i="4"/>
  <c r="X121" i="4"/>
  <c r="W121" i="4"/>
  <c r="V121" i="4"/>
  <c r="U121" i="4"/>
  <c r="T121" i="4"/>
  <c r="S121" i="4"/>
  <c r="R121" i="4"/>
  <c r="Q121" i="4"/>
  <c r="P121" i="4"/>
  <c r="O121" i="4"/>
  <c r="N121" i="4"/>
  <c r="M121" i="4"/>
  <c r="L121" i="4"/>
  <c r="C121" i="4"/>
  <c r="B121" i="4"/>
  <c r="A121" i="4"/>
  <c r="AE120" i="4"/>
  <c r="AD120" i="4"/>
  <c r="AC120" i="4"/>
  <c r="AB120" i="4"/>
  <c r="AA120" i="4"/>
  <c r="Z120" i="4"/>
  <c r="Y120" i="4"/>
  <c r="X120" i="4"/>
  <c r="W120" i="4"/>
  <c r="V120" i="4"/>
  <c r="U120" i="4"/>
  <c r="T120" i="4"/>
  <c r="S120" i="4"/>
  <c r="R120" i="4"/>
  <c r="Q120" i="4"/>
  <c r="P120" i="4"/>
  <c r="O120" i="4"/>
  <c r="N120" i="4"/>
  <c r="M120" i="4"/>
  <c r="L120" i="4"/>
  <c r="C120" i="4"/>
  <c r="B120" i="4"/>
  <c r="A120" i="4"/>
  <c r="AE119" i="4"/>
  <c r="AD119" i="4"/>
  <c r="AC119" i="4"/>
  <c r="AB119" i="4"/>
  <c r="AA119" i="4"/>
  <c r="Z119" i="4"/>
  <c r="Y119" i="4"/>
  <c r="X119" i="4"/>
  <c r="W119" i="4"/>
  <c r="V119" i="4"/>
  <c r="U119" i="4"/>
  <c r="T119" i="4"/>
  <c r="S119" i="4"/>
  <c r="R119" i="4"/>
  <c r="Q119" i="4"/>
  <c r="P119" i="4"/>
  <c r="O119" i="4"/>
  <c r="N119" i="4"/>
  <c r="M119" i="4"/>
  <c r="L119" i="4"/>
  <c r="C119" i="4"/>
  <c r="B119" i="4"/>
  <c r="A119" i="4"/>
  <c r="AE118" i="4"/>
  <c r="AD118" i="4"/>
  <c r="AC118" i="4"/>
  <c r="AB118" i="4"/>
  <c r="AA118" i="4"/>
  <c r="Z118" i="4"/>
  <c r="Y118" i="4"/>
  <c r="X118" i="4"/>
  <c r="W118" i="4"/>
  <c r="V118" i="4"/>
  <c r="U118" i="4"/>
  <c r="T118" i="4"/>
  <c r="S118" i="4"/>
  <c r="R118" i="4"/>
  <c r="Q118" i="4"/>
  <c r="P118" i="4"/>
  <c r="O118" i="4"/>
  <c r="N118" i="4"/>
  <c r="M118" i="4"/>
  <c r="L118" i="4"/>
  <c r="C118" i="4"/>
  <c r="B118" i="4"/>
  <c r="A118" i="4"/>
  <c r="AE117" i="4"/>
  <c r="AD117" i="4"/>
  <c r="AC117" i="4"/>
  <c r="AB117" i="4"/>
  <c r="AA117" i="4"/>
  <c r="Z117" i="4"/>
  <c r="Y117" i="4"/>
  <c r="X117" i="4"/>
  <c r="W117" i="4"/>
  <c r="V117" i="4"/>
  <c r="U117" i="4"/>
  <c r="T117" i="4"/>
  <c r="S117" i="4"/>
  <c r="R117" i="4"/>
  <c r="Q117" i="4"/>
  <c r="P117" i="4"/>
  <c r="O117" i="4"/>
  <c r="N117" i="4"/>
  <c r="M117" i="4"/>
  <c r="L117" i="4"/>
  <c r="C117" i="4"/>
  <c r="B117" i="4"/>
  <c r="A117" i="4"/>
  <c r="AE116" i="4"/>
  <c r="AD116" i="4"/>
  <c r="AC116" i="4"/>
  <c r="AB116" i="4"/>
  <c r="AA116" i="4"/>
  <c r="Z116" i="4"/>
  <c r="Y116" i="4"/>
  <c r="X116" i="4"/>
  <c r="W116" i="4"/>
  <c r="V116" i="4"/>
  <c r="U116" i="4"/>
  <c r="T116" i="4"/>
  <c r="S116" i="4"/>
  <c r="R116" i="4"/>
  <c r="Q116" i="4"/>
  <c r="P116" i="4"/>
  <c r="O116" i="4"/>
  <c r="N116" i="4"/>
  <c r="M116" i="4"/>
  <c r="L116" i="4"/>
  <c r="C116" i="4"/>
  <c r="B116" i="4"/>
  <c r="A116" i="4"/>
  <c r="AE115" i="4"/>
  <c r="AD115" i="4"/>
  <c r="AC115" i="4"/>
  <c r="AB115" i="4"/>
  <c r="AA115" i="4"/>
  <c r="Z115" i="4"/>
  <c r="Y115" i="4"/>
  <c r="X115" i="4"/>
  <c r="W115" i="4"/>
  <c r="V115" i="4"/>
  <c r="U115" i="4"/>
  <c r="T115" i="4"/>
  <c r="S115" i="4"/>
  <c r="R115" i="4"/>
  <c r="Q115" i="4"/>
  <c r="P115" i="4"/>
  <c r="O115" i="4"/>
  <c r="N115" i="4"/>
  <c r="M115" i="4"/>
  <c r="L115" i="4"/>
  <c r="C115" i="4"/>
  <c r="B115" i="4"/>
  <c r="A115" i="4"/>
  <c r="AE114" i="4"/>
  <c r="AD114" i="4"/>
  <c r="AC114" i="4"/>
  <c r="AB114" i="4"/>
  <c r="AA114" i="4"/>
  <c r="Z114" i="4"/>
  <c r="Y114" i="4"/>
  <c r="X114" i="4"/>
  <c r="W114" i="4"/>
  <c r="V114" i="4"/>
  <c r="U114" i="4"/>
  <c r="T114" i="4"/>
  <c r="S114" i="4"/>
  <c r="R114" i="4"/>
  <c r="Q114" i="4"/>
  <c r="P114" i="4"/>
  <c r="O114" i="4"/>
  <c r="N114" i="4"/>
  <c r="M114" i="4"/>
  <c r="L114" i="4"/>
  <c r="C114" i="4"/>
  <c r="B114" i="4"/>
  <c r="A114" i="4"/>
  <c r="AE113" i="4"/>
  <c r="AD113" i="4"/>
  <c r="AC113" i="4"/>
  <c r="AB113" i="4"/>
  <c r="AA113" i="4"/>
  <c r="Z113" i="4"/>
  <c r="Y113" i="4"/>
  <c r="X113" i="4"/>
  <c r="W113" i="4"/>
  <c r="V113" i="4"/>
  <c r="U113" i="4"/>
  <c r="T113" i="4"/>
  <c r="S113" i="4"/>
  <c r="R113" i="4"/>
  <c r="Q113" i="4"/>
  <c r="P113" i="4"/>
  <c r="O113" i="4"/>
  <c r="N113" i="4"/>
  <c r="M113" i="4"/>
  <c r="L113" i="4"/>
  <c r="C113" i="4"/>
  <c r="B113" i="4"/>
  <c r="A113" i="4"/>
  <c r="AE112" i="4"/>
  <c r="AD112" i="4"/>
  <c r="AC112" i="4"/>
  <c r="AB112" i="4"/>
  <c r="AA112" i="4"/>
  <c r="Z112" i="4"/>
  <c r="Y112" i="4"/>
  <c r="X112" i="4"/>
  <c r="W112" i="4"/>
  <c r="V112" i="4"/>
  <c r="U112" i="4"/>
  <c r="T112" i="4"/>
  <c r="S112" i="4"/>
  <c r="R112" i="4"/>
  <c r="Q112" i="4"/>
  <c r="P112" i="4"/>
  <c r="O112" i="4"/>
  <c r="N112" i="4"/>
  <c r="M112" i="4"/>
  <c r="L112" i="4"/>
  <c r="C112" i="4"/>
  <c r="B112" i="4"/>
  <c r="A112" i="4"/>
  <c r="AE111" i="4"/>
  <c r="AD111" i="4"/>
  <c r="AC111" i="4"/>
  <c r="AB111" i="4"/>
  <c r="AA111" i="4"/>
  <c r="Z111" i="4"/>
  <c r="Y111" i="4"/>
  <c r="X111" i="4"/>
  <c r="W111" i="4"/>
  <c r="V111" i="4"/>
  <c r="U111" i="4"/>
  <c r="T111" i="4"/>
  <c r="S111" i="4"/>
  <c r="R111" i="4"/>
  <c r="Q111" i="4"/>
  <c r="P111" i="4"/>
  <c r="O111" i="4"/>
  <c r="N111" i="4"/>
  <c r="M111" i="4"/>
  <c r="L111" i="4"/>
  <c r="C111" i="4"/>
  <c r="B111" i="4"/>
  <c r="A111" i="4"/>
  <c r="AE110" i="4"/>
  <c r="AD110" i="4"/>
  <c r="AC110" i="4"/>
  <c r="AB110" i="4"/>
  <c r="AA110" i="4"/>
  <c r="Z110" i="4"/>
  <c r="Y110" i="4"/>
  <c r="X110" i="4"/>
  <c r="W110" i="4"/>
  <c r="V110" i="4"/>
  <c r="U110" i="4"/>
  <c r="T110" i="4"/>
  <c r="S110" i="4"/>
  <c r="R110" i="4"/>
  <c r="Q110" i="4"/>
  <c r="P110" i="4"/>
  <c r="O110" i="4"/>
  <c r="N110" i="4"/>
  <c r="M110" i="4"/>
  <c r="L110" i="4"/>
  <c r="C110" i="4"/>
  <c r="B110" i="4"/>
  <c r="A110" i="4"/>
  <c r="AE109" i="4"/>
  <c r="AD109" i="4"/>
  <c r="AC109" i="4"/>
  <c r="AB109" i="4"/>
  <c r="AA109" i="4"/>
  <c r="Z109" i="4"/>
  <c r="Y109" i="4"/>
  <c r="X109" i="4"/>
  <c r="W109" i="4"/>
  <c r="V109" i="4"/>
  <c r="U109" i="4"/>
  <c r="T109" i="4"/>
  <c r="S109" i="4"/>
  <c r="R109" i="4"/>
  <c r="Q109" i="4"/>
  <c r="P109" i="4"/>
  <c r="O109" i="4"/>
  <c r="N109" i="4"/>
  <c r="M109" i="4"/>
  <c r="L109" i="4"/>
  <c r="C109" i="4"/>
  <c r="B109" i="4"/>
  <c r="A109" i="4"/>
  <c r="AE108" i="4"/>
  <c r="AD108" i="4"/>
  <c r="AC108" i="4"/>
  <c r="AB108" i="4"/>
  <c r="AA108" i="4"/>
  <c r="Z108" i="4"/>
  <c r="Y108" i="4"/>
  <c r="X108" i="4"/>
  <c r="W108" i="4"/>
  <c r="V108" i="4"/>
  <c r="U108" i="4"/>
  <c r="T108" i="4"/>
  <c r="S108" i="4"/>
  <c r="R108" i="4"/>
  <c r="Q108" i="4"/>
  <c r="P108" i="4"/>
  <c r="O108" i="4"/>
  <c r="N108" i="4"/>
  <c r="M108" i="4"/>
  <c r="L108" i="4"/>
  <c r="C108" i="4"/>
  <c r="B108" i="4"/>
  <c r="A108" i="4"/>
  <c r="AE107" i="4"/>
  <c r="AD107" i="4"/>
  <c r="AC107" i="4"/>
  <c r="AB107" i="4"/>
  <c r="AA107" i="4"/>
  <c r="Z107" i="4"/>
  <c r="Y107" i="4"/>
  <c r="X107" i="4"/>
  <c r="W107" i="4"/>
  <c r="V107" i="4"/>
  <c r="U107" i="4"/>
  <c r="T107" i="4"/>
  <c r="S107" i="4"/>
  <c r="R107" i="4"/>
  <c r="Q107" i="4"/>
  <c r="P107" i="4"/>
  <c r="O107" i="4"/>
  <c r="N107" i="4"/>
  <c r="M107" i="4"/>
  <c r="L107" i="4"/>
  <c r="C107" i="4"/>
  <c r="B107" i="4"/>
  <c r="A107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C106" i="4"/>
  <c r="B106" i="4"/>
  <c r="A106" i="4"/>
  <c r="AE105" i="4"/>
  <c r="AD105" i="4"/>
  <c r="AC105" i="4"/>
  <c r="AB105" i="4"/>
  <c r="AA105" i="4"/>
  <c r="Z105" i="4"/>
  <c r="Y105" i="4"/>
  <c r="X105" i="4"/>
  <c r="W105" i="4"/>
  <c r="V105" i="4"/>
  <c r="U105" i="4"/>
  <c r="T105" i="4"/>
  <c r="S105" i="4"/>
  <c r="R105" i="4"/>
  <c r="Q105" i="4"/>
  <c r="P105" i="4"/>
  <c r="O105" i="4"/>
  <c r="N105" i="4"/>
  <c r="M105" i="4"/>
  <c r="L105" i="4"/>
  <c r="C105" i="4"/>
  <c r="B105" i="4"/>
  <c r="A105" i="4"/>
  <c r="AE104" i="4"/>
  <c r="AD104" i="4"/>
  <c r="AC104" i="4"/>
  <c r="AB104" i="4"/>
  <c r="AA104" i="4"/>
  <c r="Z104" i="4"/>
  <c r="Y104" i="4"/>
  <c r="X104" i="4"/>
  <c r="W104" i="4"/>
  <c r="V104" i="4"/>
  <c r="U104" i="4"/>
  <c r="T104" i="4"/>
  <c r="S104" i="4"/>
  <c r="R104" i="4"/>
  <c r="Q104" i="4"/>
  <c r="P104" i="4"/>
  <c r="O104" i="4"/>
  <c r="N104" i="4"/>
  <c r="M104" i="4"/>
  <c r="L104" i="4"/>
  <c r="C104" i="4"/>
  <c r="B104" i="4"/>
  <c r="A104" i="4"/>
  <c r="AE103" i="4"/>
  <c r="AD103" i="4"/>
  <c r="AC103" i="4"/>
  <c r="AB103" i="4"/>
  <c r="AA103" i="4"/>
  <c r="Z103" i="4"/>
  <c r="Y103" i="4"/>
  <c r="X103" i="4"/>
  <c r="W103" i="4"/>
  <c r="V103" i="4"/>
  <c r="U103" i="4"/>
  <c r="T103" i="4"/>
  <c r="S103" i="4"/>
  <c r="R103" i="4"/>
  <c r="Q103" i="4"/>
  <c r="P103" i="4"/>
  <c r="O103" i="4"/>
  <c r="N103" i="4"/>
  <c r="M103" i="4"/>
  <c r="L103" i="4"/>
  <c r="C103" i="4"/>
  <c r="B103" i="4"/>
  <c r="A103" i="4"/>
  <c r="AE102" i="4"/>
  <c r="AD102" i="4"/>
  <c r="AC102" i="4"/>
  <c r="AB102" i="4"/>
  <c r="AA102" i="4"/>
  <c r="Z102" i="4"/>
  <c r="Y102" i="4"/>
  <c r="X102" i="4"/>
  <c r="W102" i="4"/>
  <c r="V102" i="4"/>
  <c r="U102" i="4"/>
  <c r="T102" i="4"/>
  <c r="S102" i="4"/>
  <c r="R102" i="4"/>
  <c r="Q102" i="4"/>
  <c r="P102" i="4"/>
  <c r="O102" i="4"/>
  <c r="N102" i="4"/>
  <c r="M102" i="4"/>
  <c r="L102" i="4"/>
  <c r="C102" i="4"/>
  <c r="B102" i="4"/>
  <c r="A102" i="4"/>
  <c r="AE101" i="4"/>
  <c r="AD101" i="4"/>
  <c r="AC101" i="4"/>
  <c r="AB101" i="4"/>
  <c r="AA101" i="4"/>
  <c r="Z101" i="4"/>
  <c r="Y101" i="4"/>
  <c r="X101" i="4"/>
  <c r="W101" i="4"/>
  <c r="V101" i="4"/>
  <c r="U101" i="4"/>
  <c r="T101" i="4"/>
  <c r="S101" i="4"/>
  <c r="R101" i="4"/>
  <c r="Q101" i="4"/>
  <c r="P101" i="4"/>
  <c r="O101" i="4"/>
  <c r="N101" i="4"/>
  <c r="M101" i="4"/>
  <c r="L101" i="4"/>
  <c r="C101" i="4"/>
  <c r="B101" i="4"/>
  <c r="A101" i="4"/>
  <c r="AE100" i="4"/>
  <c r="AD100" i="4"/>
  <c r="AC100" i="4"/>
  <c r="AB100" i="4"/>
  <c r="AA100" i="4"/>
  <c r="Z100" i="4"/>
  <c r="Y100" i="4"/>
  <c r="X100" i="4"/>
  <c r="W100" i="4"/>
  <c r="V100" i="4"/>
  <c r="U100" i="4"/>
  <c r="T100" i="4"/>
  <c r="S100" i="4"/>
  <c r="R100" i="4"/>
  <c r="Q100" i="4"/>
  <c r="P100" i="4"/>
  <c r="O100" i="4"/>
  <c r="N100" i="4"/>
  <c r="M100" i="4"/>
  <c r="L100" i="4"/>
  <c r="C100" i="4"/>
  <c r="B100" i="4"/>
  <c r="A100" i="4"/>
  <c r="AE99" i="4"/>
  <c r="AD99" i="4"/>
  <c r="AC99" i="4"/>
  <c r="AB99" i="4"/>
  <c r="AA99" i="4"/>
  <c r="Z99" i="4"/>
  <c r="Y99" i="4"/>
  <c r="X99" i="4"/>
  <c r="W99" i="4"/>
  <c r="V99" i="4"/>
  <c r="U99" i="4"/>
  <c r="T99" i="4"/>
  <c r="S99" i="4"/>
  <c r="R99" i="4"/>
  <c r="Q99" i="4"/>
  <c r="P99" i="4"/>
  <c r="O99" i="4"/>
  <c r="N99" i="4"/>
  <c r="M99" i="4"/>
  <c r="L99" i="4"/>
  <c r="C99" i="4"/>
  <c r="B99" i="4"/>
  <c r="A99" i="4"/>
  <c r="AE98" i="4"/>
  <c r="AD98" i="4"/>
  <c r="AC98" i="4"/>
  <c r="AB98" i="4"/>
  <c r="AA98" i="4"/>
  <c r="Z98" i="4"/>
  <c r="Y98" i="4"/>
  <c r="X98" i="4"/>
  <c r="W98" i="4"/>
  <c r="V98" i="4"/>
  <c r="U98" i="4"/>
  <c r="T98" i="4"/>
  <c r="S98" i="4"/>
  <c r="R98" i="4"/>
  <c r="Q98" i="4"/>
  <c r="P98" i="4"/>
  <c r="O98" i="4"/>
  <c r="N98" i="4"/>
  <c r="M98" i="4"/>
  <c r="L98" i="4"/>
  <c r="C98" i="4"/>
  <c r="B98" i="4"/>
  <c r="A98" i="4"/>
  <c r="AE97" i="4"/>
  <c r="AD97" i="4"/>
  <c r="AC97" i="4"/>
  <c r="AB97" i="4"/>
  <c r="AA97" i="4"/>
  <c r="Z97" i="4"/>
  <c r="Y97" i="4"/>
  <c r="X97" i="4"/>
  <c r="W97" i="4"/>
  <c r="V97" i="4"/>
  <c r="U97" i="4"/>
  <c r="T97" i="4"/>
  <c r="S97" i="4"/>
  <c r="R97" i="4"/>
  <c r="Q97" i="4"/>
  <c r="P97" i="4"/>
  <c r="O97" i="4"/>
  <c r="N97" i="4"/>
  <c r="M97" i="4"/>
  <c r="L97" i="4"/>
  <c r="C97" i="4"/>
  <c r="B97" i="4"/>
  <c r="A97" i="4"/>
  <c r="AE96" i="4"/>
  <c r="AD96" i="4"/>
  <c r="AC96" i="4"/>
  <c r="AB96" i="4"/>
  <c r="AA96" i="4"/>
  <c r="Z96" i="4"/>
  <c r="Y96" i="4"/>
  <c r="X96" i="4"/>
  <c r="W96" i="4"/>
  <c r="V96" i="4"/>
  <c r="U96" i="4"/>
  <c r="T96" i="4"/>
  <c r="S96" i="4"/>
  <c r="R96" i="4"/>
  <c r="Q96" i="4"/>
  <c r="P96" i="4"/>
  <c r="O96" i="4"/>
  <c r="N96" i="4"/>
  <c r="M96" i="4"/>
  <c r="L96" i="4"/>
  <c r="C96" i="4"/>
  <c r="B96" i="4"/>
  <c r="A96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C95" i="4"/>
  <c r="B95" i="4"/>
  <c r="A95" i="4"/>
  <c r="AE94" i="4"/>
  <c r="AD94" i="4"/>
  <c r="AC94" i="4"/>
  <c r="AB94" i="4"/>
  <c r="AA94" i="4"/>
  <c r="Z94" i="4"/>
  <c r="Y94" i="4"/>
  <c r="X94" i="4"/>
  <c r="W94" i="4"/>
  <c r="V94" i="4"/>
  <c r="U94" i="4"/>
  <c r="T94" i="4"/>
  <c r="S94" i="4"/>
  <c r="R94" i="4"/>
  <c r="Q94" i="4"/>
  <c r="P94" i="4"/>
  <c r="O94" i="4"/>
  <c r="N94" i="4"/>
  <c r="M94" i="4"/>
  <c r="L94" i="4"/>
  <c r="C94" i="4"/>
  <c r="B94" i="4"/>
  <c r="A94" i="4"/>
  <c r="AE93" i="4"/>
  <c r="AD93" i="4"/>
  <c r="AC93" i="4"/>
  <c r="AB93" i="4"/>
  <c r="AA93" i="4"/>
  <c r="Z93" i="4"/>
  <c r="Y93" i="4"/>
  <c r="X93" i="4"/>
  <c r="W93" i="4"/>
  <c r="V93" i="4"/>
  <c r="U93" i="4"/>
  <c r="T93" i="4"/>
  <c r="S93" i="4"/>
  <c r="R93" i="4"/>
  <c r="Q93" i="4"/>
  <c r="P93" i="4"/>
  <c r="O93" i="4"/>
  <c r="N93" i="4"/>
  <c r="M93" i="4"/>
  <c r="L93" i="4"/>
  <c r="C93" i="4"/>
  <c r="B93" i="4"/>
  <c r="A93" i="4"/>
  <c r="AE92" i="4"/>
  <c r="AD92" i="4"/>
  <c r="AC92" i="4"/>
  <c r="AB92" i="4"/>
  <c r="AA92" i="4"/>
  <c r="Z92" i="4"/>
  <c r="Y92" i="4"/>
  <c r="X92" i="4"/>
  <c r="W92" i="4"/>
  <c r="V92" i="4"/>
  <c r="U92" i="4"/>
  <c r="T92" i="4"/>
  <c r="S92" i="4"/>
  <c r="R92" i="4"/>
  <c r="Q92" i="4"/>
  <c r="P92" i="4"/>
  <c r="O92" i="4"/>
  <c r="N92" i="4"/>
  <c r="M92" i="4"/>
  <c r="L92" i="4"/>
  <c r="C92" i="4"/>
  <c r="B92" i="4"/>
  <c r="A92" i="4"/>
  <c r="AE91" i="4"/>
  <c r="AD91" i="4"/>
  <c r="AC91" i="4"/>
  <c r="AB91" i="4"/>
  <c r="AA91" i="4"/>
  <c r="Z91" i="4"/>
  <c r="Y91" i="4"/>
  <c r="X91" i="4"/>
  <c r="W91" i="4"/>
  <c r="V91" i="4"/>
  <c r="U91" i="4"/>
  <c r="T91" i="4"/>
  <c r="S91" i="4"/>
  <c r="R91" i="4"/>
  <c r="Q91" i="4"/>
  <c r="P91" i="4"/>
  <c r="O91" i="4"/>
  <c r="N91" i="4"/>
  <c r="M91" i="4"/>
  <c r="L91" i="4"/>
  <c r="C91" i="4"/>
  <c r="B91" i="4"/>
  <c r="A91" i="4"/>
  <c r="AE90" i="4"/>
  <c r="AD90" i="4"/>
  <c r="AC90" i="4"/>
  <c r="AB90" i="4"/>
  <c r="AA90" i="4"/>
  <c r="Z90" i="4"/>
  <c r="Y90" i="4"/>
  <c r="X90" i="4"/>
  <c r="W90" i="4"/>
  <c r="V90" i="4"/>
  <c r="U90" i="4"/>
  <c r="T90" i="4"/>
  <c r="S90" i="4"/>
  <c r="R90" i="4"/>
  <c r="Q90" i="4"/>
  <c r="P90" i="4"/>
  <c r="O90" i="4"/>
  <c r="N90" i="4"/>
  <c r="M90" i="4"/>
  <c r="L90" i="4"/>
  <c r="C90" i="4"/>
  <c r="B90" i="4"/>
  <c r="A90" i="4"/>
  <c r="AE89" i="4"/>
  <c r="AD89" i="4"/>
  <c r="AC89" i="4"/>
  <c r="AB89" i="4"/>
  <c r="AA89" i="4"/>
  <c r="Z89" i="4"/>
  <c r="Y89" i="4"/>
  <c r="X89" i="4"/>
  <c r="W89" i="4"/>
  <c r="V89" i="4"/>
  <c r="U89" i="4"/>
  <c r="T89" i="4"/>
  <c r="S89" i="4"/>
  <c r="R89" i="4"/>
  <c r="Q89" i="4"/>
  <c r="P89" i="4"/>
  <c r="O89" i="4"/>
  <c r="N89" i="4"/>
  <c r="M89" i="4"/>
  <c r="L89" i="4"/>
  <c r="C89" i="4"/>
  <c r="B89" i="4"/>
  <c r="A89" i="4"/>
  <c r="AE88" i="4"/>
  <c r="AD88" i="4"/>
  <c r="AC88" i="4"/>
  <c r="AB88" i="4"/>
  <c r="AA88" i="4"/>
  <c r="Z88" i="4"/>
  <c r="Y88" i="4"/>
  <c r="X88" i="4"/>
  <c r="W88" i="4"/>
  <c r="V88" i="4"/>
  <c r="U88" i="4"/>
  <c r="T88" i="4"/>
  <c r="S88" i="4"/>
  <c r="R88" i="4"/>
  <c r="Q88" i="4"/>
  <c r="P88" i="4"/>
  <c r="O88" i="4"/>
  <c r="N88" i="4"/>
  <c r="M88" i="4"/>
  <c r="L88" i="4"/>
  <c r="C88" i="4"/>
  <c r="B88" i="4"/>
  <c r="A88" i="4"/>
  <c r="AE87" i="4"/>
  <c r="AD87" i="4"/>
  <c r="AC87" i="4"/>
  <c r="AB87" i="4"/>
  <c r="AA87" i="4"/>
  <c r="Z87" i="4"/>
  <c r="Y87" i="4"/>
  <c r="X87" i="4"/>
  <c r="W87" i="4"/>
  <c r="V87" i="4"/>
  <c r="U87" i="4"/>
  <c r="T87" i="4"/>
  <c r="S87" i="4"/>
  <c r="R87" i="4"/>
  <c r="Q87" i="4"/>
  <c r="P87" i="4"/>
  <c r="O87" i="4"/>
  <c r="N87" i="4"/>
  <c r="M87" i="4"/>
  <c r="L87" i="4"/>
  <c r="C87" i="4"/>
  <c r="B87" i="4"/>
  <c r="A87" i="4"/>
  <c r="AE86" i="4"/>
  <c r="AD86" i="4"/>
  <c r="AC86" i="4"/>
  <c r="AB86" i="4"/>
  <c r="AA86" i="4"/>
  <c r="Z86" i="4"/>
  <c r="Y86" i="4"/>
  <c r="X86" i="4"/>
  <c r="W86" i="4"/>
  <c r="V86" i="4"/>
  <c r="U86" i="4"/>
  <c r="T86" i="4"/>
  <c r="S86" i="4"/>
  <c r="R86" i="4"/>
  <c r="Q86" i="4"/>
  <c r="P86" i="4"/>
  <c r="O86" i="4"/>
  <c r="N86" i="4"/>
  <c r="M86" i="4"/>
  <c r="L86" i="4"/>
  <c r="C86" i="4"/>
  <c r="B86" i="4"/>
  <c r="A86" i="4"/>
  <c r="AE85" i="4"/>
  <c r="AD85" i="4"/>
  <c r="AC85" i="4"/>
  <c r="AB85" i="4"/>
  <c r="AA85" i="4"/>
  <c r="Z85" i="4"/>
  <c r="Y85" i="4"/>
  <c r="X85" i="4"/>
  <c r="W85" i="4"/>
  <c r="V85" i="4"/>
  <c r="U85" i="4"/>
  <c r="T85" i="4"/>
  <c r="S85" i="4"/>
  <c r="R85" i="4"/>
  <c r="Q85" i="4"/>
  <c r="P85" i="4"/>
  <c r="O85" i="4"/>
  <c r="N85" i="4"/>
  <c r="M85" i="4"/>
  <c r="L85" i="4"/>
  <c r="C85" i="4"/>
  <c r="B85" i="4"/>
  <c r="A85" i="4"/>
  <c r="AE84" i="4"/>
  <c r="AD84" i="4"/>
  <c r="AC84" i="4"/>
  <c r="AB84" i="4"/>
  <c r="AA84" i="4"/>
  <c r="Z84" i="4"/>
  <c r="Y84" i="4"/>
  <c r="X84" i="4"/>
  <c r="W84" i="4"/>
  <c r="V84" i="4"/>
  <c r="U84" i="4"/>
  <c r="T84" i="4"/>
  <c r="S84" i="4"/>
  <c r="R84" i="4"/>
  <c r="Q84" i="4"/>
  <c r="P84" i="4"/>
  <c r="O84" i="4"/>
  <c r="N84" i="4"/>
  <c r="M84" i="4"/>
  <c r="L84" i="4"/>
  <c r="C84" i="4"/>
  <c r="B84" i="4"/>
  <c r="A84" i="4"/>
  <c r="AE83" i="4"/>
  <c r="AD83" i="4"/>
  <c r="AC83" i="4"/>
  <c r="AB83" i="4"/>
  <c r="AA83" i="4"/>
  <c r="Z83" i="4"/>
  <c r="Y83" i="4"/>
  <c r="X83" i="4"/>
  <c r="W83" i="4"/>
  <c r="V83" i="4"/>
  <c r="U83" i="4"/>
  <c r="T83" i="4"/>
  <c r="S83" i="4"/>
  <c r="R83" i="4"/>
  <c r="Q83" i="4"/>
  <c r="P83" i="4"/>
  <c r="O83" i="4"/>
  <c r="N83" i="4"/>
  <c r="M83" i="4"/>
  <c r="L83" i="4"/>
  <c r="C83" i="4"/>
  <c r="B83" i="4"/>
  <c r="A83" i="4"/>
  <c r="AE82" i="4"/>
  <c r="AD82" i="4"/>
  <c r="AC82" i="4"/>
  <c r="AB82" i="4"/>
  <c r="AA82" i="4"/>
  <c r="Z82" i="4"/>
  <c r="Y82" i="4"/>
  <c r="X82" i="4"/>
  <c r="W82" i="4"/>
  <c r="V82" i="4"/>
  <c r="U82" i="4"/>
  <c r="T82" i="4"/>
  <c r="S82" i="4"/>
  <c r="R82" i="4"/>
  <c r="Q82" i="4"/>
  <c r="P82" i="4"/>
  <c r="O82" i="4"/>
  <c r="N82" i="4"/>
  <c r="M82" i="4"/>
  <c r="L82" i="4"/>
  <c r="C82" i="4"/>
  <c r="B82" i="4"/>
  <c r="A82" i="4"/>
  <c r="AE81" i="4"/>
  <c r="AD81" i="4"/>
  <c r="AC81" i="4"/>
  <c r="AB81" i="4"/>
  <c r="AA81" i="4"/>
  <c r="Z81" i="4"/>
  <c r="Y81" i="4"/>
  <c r="X81" i="4"/>
  <c r="W81" i="4"/>
  <c r="V81" i="4"/>
  <c r="U81" i="4"/>
  <c r="T81" i="4"/>
  <c r="S81" i="4"/>
  <c r="R81" i="4"/>
  <c r="Q81" i="4"/>
  <c r="P81" i="4"/>
  <c r="O81" i="4"/>
  <c r="N81" i="4"/>
  <c r="M81" i="4"/>
  <c r="L81" i="4"/>
  <c r="C81" i="4"/>
  <c r="B81" i="4"/>
  <c r="A81" i="4"/>
  <c r="AE80" i="4"/>
  <c r="AD80" i="4"/>
  <c r="AC80" i="4"/>
  <c r="AB80" i="4"/>
  <c r="AA80" i="4"/>
  <c r="Z80" i="4"/>
  <c r="Y80" i="4"/>
  <c r="X80" i="4"/>
  <c r="W80" i="4"/>
  <c r="V80" i="4"/>
  <c r="U80" i="4"/>
  <c r="T80" i="4"/>
  <c r="S80" i="4"/>
  <c r="R80" i="4"/>
  <c r="Q80" i="4"/>
  <c r="P80" i="4"/>
  <c r="O80" i="4"/>
  <c r="N80" i="4"/>
  <c r="M80" i="4"/>
  <c r="L80" i="4"/>
  <c r="C80" i="4"/>
  <c r="B80" i="4"/>
  <c r="A80" i="4"/>
  <c r="AE79" i="4"/>
  <c r="AD79" i="4"/>
  <c r="AC79" i="4"/>
  <c r="AB79" i="4"/>
  <c r="AA79" i="4"/>
  <c r="Z79" i="4"/>
  <c r="Y79" i="4"/>
  <c r="X79" i="4"/>
  <c r="W79" i="4"/>
  <c r="V79" i="4"/>
  <c r="U79" i="4"/>
  <c r="T79" i="4"/>
  <c r="S79" i="4"/>
  <c r="R79" i="4"/>
  <c r="Q79" i="4"/>
  <c r="P79" i="4"/>
  <c r="O79" i="4"/>
  <c r="N79" i="4"/>
  <c r="M79" i="4"/>
  <c r="L79" i="4"/>
  <c r="C79" i="4"/>
  <c r="B79" i="4"/>
  <c r="A79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C78" i="4"/>
  <c r="B78" i="4"/>
  <c r="A78" i="4"/>
  <c r="AE77" i="4"/>
  <c r="AD77" i="4"/>
  <c r="AC77" i="4"/>
  <c r="AB77" i="4"/>
  <c r="AA77" i="4"/>
  <c r="Z77" i="4"/>
  <c r="Y77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C77" i="4"/>
  <c r="B77" i="4"/>
  <c r="A77" i="4"/>
  <c r="AE76" i="4"/>
  <c r="AD76" i="4"/>
  <c r="AC76" i="4"/>
  <c r="AB76" i="4"/>
  <c r="AA76" i="4"/>
  <c r="Z76" i="4"/>
  <c r="Y76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C76" i="4"/>
  <c r="B76" i="4"/>
  <c r="A76" i="4"/>
  <c r="AE75" i="4"/>
  <c r="AD75" i="4"/>
  <c r="AC75" i="4"/>
  <c r="AB75" i="4"/>
  <c r="AA75" i="4"/>
  <c r="Z75" i="4"/>
  <c r="Y75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C75" i="4"/>
  <c r="B75" i="4"/>
  <c r="A75" i="4"/>
  <c r="AE74" i="4"/>
  <c r="AD74" i="4"/>
  <c r="AC74" i="4"/>
  <c r="AB74" i="4"/>
  <c r="AA74" i="4"/>
  <c r="Z74" i="4"/>
  <c r="Y74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C74" i="4"/>
  <c r="B74" i="4"/>
  <c r="A74" i="4"/>
  <c r="AE73" i="4"/>
  <c r="AD73" i="4"/>
  <c r="AC73" i="4"/>
  <c r="AB73" i="4"/>
  <c r="AA73" i="4"/>
  <c r="Z73" i="4"/>
  <c r="Y73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C73" i="4"/>
  <c r="B73" i="4"/>
  <c r="A73" i="4"/>
  <c r="AE72" i="4"/>
  <c r="AD72" i="4"/>
  <c r="AC72" i="4"/>
  <c r="AB72" i="4"/>
  <c r="AA72" i="4"/>
  <c r="Z72" i="4"/>
  <c r="Y72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C72" i="4"/>
  <c r="B72" i="4"/>
  <c r="A72" i="4"/>
  <c r="AE71" i="4"/>
  <c r="AD71" i="4"/>
  <c r="AC71" i="4"/>
  <c r="AB71" i="4"/>
  <c r="AA71" i="4"/>
  <c r="Z71" i="4"/>
  <c r="Y71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C71" i="4"/>
  <c r="B71" i="4"/>
  <c r="A71" i="4"/>
  <c r="AE70" i="4"/>
  <c r="AD70" i="4"/>
  <c r="AC70" i="4"/>
  <c r="AB70" i="4"/>
  <c r="AA70" i="4"/>
  <c r="Z70" i="4"/>
  <c r="Y70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C70" i="4"/>
  <c r="B70" i="4"/>
  <c r="A70" i="4"/>
  <c r="AE69" i="4"/>
  <c r="AD69" i="4"/>
  <c r="AC69" i="4"/>
  <c r="AB69" i="4"/>
  <c r="AA69" i="4"/>
  <c r="Z69" i="4"/>
  <c r="Y69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C69" i="4"/>
  <c r="B69" i="4"/>
  <c r="A69" i="4"/>
  <c r="AE68" i="4"/>
  <c r="AD68" i="4"/>
  <c r="AC68" i="4"/>
  <c r="AB68" i="4"/>
  <c r="AA68" i="4"/>
  <c r="Z68" i="4"/>
  <c r="Y68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C68" i="4"/>
  <c r="B68" i="4"/>
  <c r="A68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C67" i="4"/>
  <c r="B67" i="4"/>
  <c r="A67" i="4"/>
  <c r="AE66" i="4"/>
  <c r="AD66" i="4"/>
  <c r="AC66" i="4"/>
  <c r="AB66" i="4"/>
  <c r="AA66" i="4"/>
  <c r="Z66" i="4"/>
  <c r="Y66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C66" i="4"/>
  <c r="B66" i="4"/>
  <c r="A66" i="4"/>
  <c r="AE65" i="4"/>
  <c r="AD65" i="4"/>
  <c r="AC65" i="4"/>
  <c r="AB65" i="4"/>
  <c r="AA65" i="4"/>
  <c r="Z65" i="4"/>
  <c r="Y65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C65" i="4"/>
  <c r="B65" i="4"/>
  <c r="A65" i="4"/>
  <c r="AE64" i="4"/>
  <c r="AD64" i="4"/>
  <c r="AC64" i="4"/>
  <c r="AB64" i="4"/>
  <c r="AA64" i="4"/>
  <c r="Z64" i="4"/>
  <c r="Y64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C64" i="4"/>
  <c r="B64" i="4"/>
  <c r="A64" i="4"/>
  <c r="AE63" i="4"/>
  <c r="AD63" i="4"/>
  <c r="AC63" i="4"/>
  <c r="AB63" i="4"/>
  <c r="AA63" i="4"/>
  <c r="Z63" i="4"/>
  <c r="Y63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C63" i="4"/>
  <c r="B63" i="4"/>
  <c r="A63" i="4"/>
  <c r="AE62" i="4"/>
  <c r="AD62" i="4"/>
  <c r="AC62" i="4"/>
  <c r="AB62" i="4"/>
  <c r="AA62" i="4"/>
  <c r="Z62" i="4"/>
  <c r="Y62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C62" i="4"/>
  <c r="B62" i="4"/>
  <c r="A62" i="4"/>
  <c r="AE61" i="4"/>
  <c r="AD61" i="4"/>
  <c r="AC61" i="4"/>
  <c r="AB61" i="4"/>
  <c r="AA61" i="4"/>
  <c r="Z61" i="4"/>
  <c r="Y61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C61" i="4"/>
  <c r="B61" i="4"/>
  <c r="A61" i="4"/>
  <c r="AE60" i="4"/>
  <c r="AD60" i="4"/>
  <c r="AC60" i="4"/>
  <c r="AB60" i="4"/>
  <c r="AA60" i="4"/>
  <c r="Z60" i="4"/>
  <c r="Y60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C60" i="4"/>
  <c r="B60" i="4"/>
  <c r="A60" i="4"/>
  <c r="AE59" i="4"/>
  <c r="AD59" i="4"/>
  <c r="AC59" i="4"/>
  <c r="AB59" i="4"/>
  <c r="AA59" i="4"/>
  <c r="Z59" i="4"/>
  <c r="Y59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C59" i="4"/>
  <c r="B59" i="4"/>
  <c r="A59" i="4"/>
  <c r="AE58" i="4"/>
  <c r="AD58" i="4"/>
  <c r="AC58" i="4"/>
  <c r="AB58" i="4"/>
  <c r="AA58" i="4"/>
  <c r="Z58" i="4"/>
  <c r="Y58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C58" i="4"/>
  <c r="B58" i="4"/>
  <c r="A58" i="4"/>
  <c r="AE57" i="4"/>
  <c r="AD57" i="4"/>
  <c r="AC57" i="4"/>
  <c r="AB57" i="4"/>
  <c r="AA57" i="4"/>
  <c r="Z57" i="4"/>
  <c r="Y57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C57" i="4"/>
  <c r="B57" i="4"/>
  <c r="A57" i="4"/>
  <c r="AE56" i="4"/>
  <c r="AD56" i="4"/>
  <c r="AC56" i="4"/>
  <c r="AB56" i="4"/>
  <c r="AA56" i="4"/>
  <c r="Z56" i="4"/>
  <c r="Y56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C56" i="4"/>
  <c r="B56" i="4"/>
  <c r="A56" i="4"/>
  <c r="AE55" i="4"/>
  <c r="AD55" i="4"/>
  <c r="AC55" i="4"/>
  <c r="AB55" i="4"/>
  <c r="AA55" i="4"/>
  <c r="Z55" i="4"/>
  <c r="Y55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C55" i="4"/>
  <c r="B55" i="4"/>
  <c r="A55" i="4"/>
  <c r="AE54" i="4"/>
  <c r="AD54" i="4"/>
  <c r="AC54" i="4"/>
  <c r="AB54" i="4"/>
  <c r="AA54" i="4"/>
  <c r="Z54" i="4"/>
  <c r="Y54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C54" i="4"/>
  <c r="B54" i="4"/>
  <c r="A54" i="4"/>
  <c r="AE53" i="4"/>
  <c r="AD53" i="4"/>
  <c r="AC53" i="4"/>
  <c r="AB53" i="4"/>
  <c r="AA53" i="4"/>
  <c r="Z53" i="4"/>
  <c r="Y53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C53" i="4"/>
  <c r="B53" i="4"/>
  <c r="A53" i="4"/>
  <c r="AE52" i="4"/>
  <c r="AD52" i="4"/>
  <c r="AC52" i="4"/>
  <c r="AB52" i="4"/>
  <c r="AA52" i="4"/>
  <c r="Z52" i="4"/>
  <c r="Y52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C52" i="4"/>
  <c r="B52" i="4"/>
  <c r="A52" i="4"/>
  <c r="AE51" i="4"/>
  <c r="AD51" i="4"/>
  <c r="AC51" i="4"/>
  <c r="AB51" i="4"/>
  <c r="AA51" i="4"/>
  <c r="Z51" i="4"/>
  <c r="Y51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C51" i="4"/>
  <c r="B51" i="4"/>
  <c r="A51" i="4"/>
  <c r="AE50" i="4"/>
  <c r="AD50" i="4"/>
  <c r="AC50" i="4"/>
  <c r="AB50" i="4"/>
  <c r="AA50" i="4"/>
  <c r="Z50" i="4"/>
  <c r="Y50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C50" i="4"/>
  <c r="B50" i="4"/>
  <c r="A50" i="4"/>
  <c r="AE49" i="4"/>
  <c r="AD49" i="4"/>
  <c r="AC49" i="4"/>
  <c r="AB49" i="4"/>
  <c r="AA49" i="4"/>
  <c r="Z49" i="4"/>
  <c r="Y49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C49" i="4"/>
  <c r="B49" i="4"/>
  <c r="A49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C48" i="4"/>
  <c r="B48" i="4"/>
  <c r="A48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C47" i="4"/>
  <c r="B47" i="4"/>
  <c r="A47" i="4"/>
  <c r="AE46" i="4"/>
  <c r="AD46" i="4"/>
  <c r="AC46" i="4"/>
  <c r="AB46" i="4"/>
  <c r="AA46" i="4"/>
  <c r="Z46" i="4"/>
  <c r="Y46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C46" i="4"/>
  <c r="B46" i="4"/>
  <c r="A46" i="4"/>
  <c r="AE45" i="4"/>
  <c r="AD45" i="4"/>
  <c r="AC45" i="4"/>
  <c r="AB45" i="4"/>
  <c r="AA45" i="4"/>
  <c r="Z45" i="4"/>
  <c r="Y45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C45" i="4"/>
  <c r="B45" i="4"/>
  <c r="A45" i="4"/>
  <c r="F143" i="4"/>
  <c r="F144" i="4"/>
  <c r="K50" i="4"/>
  <c r="K49" i="4"/>
  <c r="K48" i="4"/>
  <c r="K47" i="4"/>
  <c r="K46" i="4"/>
  <c r="C35" i="4"/>
  <c r="L35" i="4"/>
  <c r="M35" i="4"/>
  <c r="O35" i="4"/>
  <c r="P35" i="4"/>
  <c r="R35" i="4"/>
  <c r="S35" i="4"/>
  <c r="T35" i="4"/>
  <c r="U35" i="4"/>
  <c r="W35" i="4"/>
  <c r="X35" i="4"/>
  <c r="Z35" i="4"/>
  <c r="AA35" i="4"/>
  <c r="AC35" i="4"/>
  <c r="AD35" i="4"/>
  <c r="C36" i="4"/>
  <c r="L36" i="4"/>
  <c r="M36" i="4"/>
  <c r="O36" i="4"/>
  <c r="P36" i="4"/>
  <c r="Q36" i="4"/>
  <c r="R36" i="4"/>
  <c r="S36" i="4"/>
  <c r="T36" i="4"/>
  <c r="U36" i="4"/>
  <c r="V36" i="4"/>
  <c r="W36" i="4"/>
  <c r="X36" i="4"/>
  <c r="AA36" i="4"/>
  <c r="AB36" i="4"/>
  <c r="AC36" i="4"/>
  <c r="AD36" i="4"/>
  <c r="AE36" i="4"/>
  <c r="C37" i="4"/>
  <c r="L37" i="4"/>
  <c r="M37" i="4"/>
  <c r="O37" i="4"/>
  <c r="P37" i="4"/>
  <c r="Q37" i="4"/>
  <c r="R37" i="4"/>
  <c r="S37" i="4"/>
  <c r="T37" i="4"/>
  <c r="U37" i="4"/>
  <c r="V37" i="4"/>
  <c r="W37" i="4"/>
  <c r="X37" i="4"/>
  <c r="AA37" i="4"/>
  <c r="AB37" i="4"/>
  <c r="AC37" i="4"/>
  <c r="AD37" i="4"/>
  <c r="AE37" i="4"/>
  <c r="C38" i="4"/>
  <c r="M38" i="4"/>
  <c r="O38" i="4"/>
  <c r="P38" i="4"/>
  <c r="R38" i="4"/>
  <c r="S38" i="4"/>
  <c r="T38" i="4"/>
  <c r="U38" i="4"/>
  <c r="W38" i="4"/>
  <c r="X38" i="4"/>
  <c r="Y38" i="4"/>
  <c r="AA38" i="4"/>
  <c r="AC38" i="4"/>
  <c r="AD38" i="4"/>
  <c r="C39" i="4"/>
  <c r="M39" i="4"/>
  <c r="N39" i="4"/>
  <c r="P39" i="4"/>
  <c r="Q39" i="4"/>
  <c r="R39" i="4"/>
  <c r="S39" i="4"/>
  <c r="U39" i="4"/>
  <c r="V39" i="4"/>
  <c r="X39" i="4"/>
  <c r="Y39" i="4"/>
  <c r="AA39" i="4"/>
  <c r="AB39" i="4"/>
  <c r="AD39" i="4"/>
  <c r="C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C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AD41" i="4"/>
  <c r="AE41" i="4"/>
  <c r="C42" i="4"/>
  <c r="M42" i="4"/>
  <c r="N42" i="4"/>
  <c r="P42" i="4"/>
  <c r="Q42" i="4"/>
  <c r="R42" i="4"/>
  <c r="S42" i="4"/>
  <c r="U42" i="4"/>
  <c r="V42" i="4"/>
  <c r="X42" i="4"/>
  <c r="Z42" i="4"/>
  <c r="AA42" i="4"/>
  <c r="AD42" i="4"/>
  <c r="C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AD43" i="4"/>
  <c r="AE43" i="4"/>
  <c r="C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AD44" i="4"/>
  <c r="AE44" i="4"/>
  <c r="C8" i="4"/>
  <c r="D8" i="4"/>
  <c r="M8" i="4"/>
  <c r="P8" i="4"/>
  <c r="R8" i="4"/>
  <c r="S8" i="4"/>
  <c r="U8" i="4"/>
  <c r="W8" i="4"/>
  <c r="X8" i="4"/>
  <c r="Z8" i="4"/>
  <c r="AA8" i="4"/>
  <c r="AC8" i="4"/>
  <c r="AD8" i="4"/>
  <c r="C9" i="4"/>
  <c r="M9" i="4"/>
  <c r="O9" i="4"/>
  <c r="P9" i="4"/>
  <c r="R9" i="4"/>
  <c r="S9" i="4"/>
  <c r="T9" i="4"/>
  <c r="U9" i="4"/>
  <c r="W9" i="4"/>
  <c r="X9" i="4"/>
  <c r="Z9" i="4"/>
  <c r="AA9" i="4"/>
  <c r="AC9" i="4"/>
  <c r="AD9" i="4"/>
  <c r="C10" i="4"/>
  <c r="L10" i="4"/>
  <c r="M10" i="4"/>
  <c r="O10" i="4"/>
  <c r="P10" i="4"/>
  <c r="Q10" i="4"/>
  <c r="R10" i="4"/>
  <c r="S10" i="4"/>
  <c r="U10" i="4"/>
  <c r="W10" i="4"/>
  <c r="X10" i="4"/>
  <c r="Z10" i="4"/>
  <c r="AA10" i="4"/>
  <c r="AC10" i="4"/>
  <c r="AD10" i="4"/>
  <c r="C11" i="4"/>
  <c r="M11" i="4"/>
  <c r="P11" i="4"/>
  <c r="R11" i="4"/>
  <c r="S11" i="4"/>
  <c r="T11" i="4"/>
  <c r="U11" i="4"/>
  <c r="W11" i="4"/>
  <c r="X11" i="4"/>
  <c r="Z11" i="4"/>
  <c r="AA11" i="4"/>
  <c r="AC11" i="4"/>
  <c r="AD11" i="4"/>
  <c r="C12" i="4"/>
  <c r="M12" i="4"/>
  <c r="O12" i="4"/>
  <c r="P12" i="4"/>
  <c r="R12" i="4"/>
  <c r="S12" i="4"/>
  <c r="T12" i="4"/>
  <c r="U12" i="4"/>
  <c r="W12" i="4"/>
  <c r="X12" i="4"/>
  <c r="Z12" i="4"/>
  <c r="AA12" i="4"/>
  <c r="AD12" i="4"/>
  <c r="C13" i="4"/>
  <c r="M13" i="4"/>
  <c r="O13" i="4"/>
  <c r="P13" i="4"/>
  <c r="R13" i="4"/>
  <c r="S13" i="4"/>
  <c r="T13" i="4"/>
  <c r="U13" i="4"/>
  <c r="W13" i="4"/>
  <c r="X13" i="4"/>
  <c r="AA13" i="4"/>
  <c r="AC13" i="4"/>
  <c r="AD13" i="4"/>
  <c r="C14" i="4"/>
  <c r="M14" i="4"/>
  <c r="P14" i="4"/>
  <c r="R14" i="4"/>
  <c r="S14" i="4"/>
  <c r="T14" i="4"/>
  <c r="U14" i="4"/>
  <c r="W14" i="4"/>
  <c r="X14" i="4"/>
  <c r="Z14" i="4"/>
  <c r="AA14" i="4"/>
  <c r="AC14" i="4"/>
  <c r="AD14" i="4"/>
  <c r="AE14" i="4"/>
  <c r="C15" i="4"/>
  <c r="M15" i="4"/>
  <c r="O15" i="4"/>
  <c r="P15" i="4"/>
  <c r="R15" i="4"/>
  <c r="S15" i="4"/>
  <c r="T15" i="4"/>
  <c r="U15" i="4"/>
  <c r="W15" i="4"/>
  <c r="X15" i="4"/>
  <c r="Z15" i="4"/>
  <c r="AA15" i="4"/>
  <c r="AD15" i="4"/>
  <c r="C16" i="4"/>
  <c r="M16" i="4"/>
  <c r="O16" i="4"/>
  <c r="P16" i="4"/>
  <c r="R16" i="4"/>
  <c r="S16" i="4"/>
  <c r="T16" i="4"/>
  <c r="U16" i="4"/>
  <c r="W16" i="4"/>
  <c r="X16" i="4"/>
  <c r="AA16" i="4"/>
  <c r="AD16" i="4"/>
  <c r="C17" i="4"/>
  <c r="M17" i="4"/>
  <c r="O17" i="4"/>
  <c r="P17" i="4"/>
  <c r="R17" i="4"/>
  <c r="S17" i="4"/>
  <c r="T17" i="4"/>
  <c r="U17" i="4"/>
  <c r="W17" i="4"/>
  <c r="X17" i="4"/>
  <c r="AA17" i="4"/>
  <c r="AD17" i="4"/>
  <c r="C18" i="4"/>
  <c r="M18" i="4"/>
  <c r="O18" i="4"/>
  <c r="P18" i="4"/>
  <c r="R18" i="4"/>
  <c r="S18" i="4"/>
  <c r="T18" i="4"/>
  <c r="U18" i="4"/>
  <c r="W18" i="4"/>
  <c r="X18" i="4"/>
  <c r="AA18" i="4"/>
  <c r="AD18" i="4"/>
  <c r="C19" i="4"/>
  <c r="K19" i="4"/>
  <c r="M19" i="4"/>
  <c r="O19" i="4"/>
  <c r="P19" i="4"/>
  <c r="R19" i="4"/>
  <c r="S19" i="4"/>
  <c r="T19" i="4"/>
  <c r="U19" i="4"/>
  <c r="W19" i="4"/>
  <c r="X19" i="4"/>
  <c r="Y19" i="4"/>
  <c r="AA19" i="4"/>
  <c r="AD19" i="4"/>
  <c r="AE19" i="4"/>
  <c r="C20" i="4"/>
  <c r="L20" i="4"/>
  <c r="M20" i="4"/>
  <c r="O20" i="4"/>
  <c r="P20" i="4"/>
  <c r="R20" i="4"/>
  <c r="S20" i="4"/>
  <c r="T20" i="4"/>
  <c r="U20" i="4"/>
  <c r="W20" i="4"/>
  <c r="X20" i="4"/>
  <c r="AA20" i="4"/>
  <c r="AC20" i="4"/>
  <c r="AD20" i="4"/>
  <c r="C21" i="4"/>
  <c r="L21" i="4"/>
  <c r="M21" i="4"/>
  <c r="O21" i="4"/>
  <c r="P21" i="4"/>
  <c r="R21" i="4"/>
  <c r="S21" i="4"/>
  <c r="T21" i="4"/>
  <c r="U21" i="4"/>
  <c r="W21" i="4"/>
  <c r="X21" i="4"/>
  <c r="AA21" i="4"/>
  <c r="AC21" i="4"/>
  <c r="AD21" i="4"/>
  <c r="C22" i="4"/>
  <c r="M22" i="4"/>
  <c r="O22" i="4"/>
  <c r="P22" i="4"/>
  <c r="R22" i="4"/>
  <c r="S22" i="4"/>
  <c r="T22" i="4"/>
  <c r="U22" i="4"/>
  <c r="W22" i="4"/>
  <c r="X22" i="4"/>
  <c r="Y22" i="4"/>
  <c r="AA22" i="4"/>
  <c r="AC22" i="4"/>
  <c r="AD22" i="4"/>
  <c r="C23" i="4"/>
  <c r="M23" i="4"/>
  <c r="P23" i="4"/>
  <c r="R23" i="4"/>
  <c r="S23" i="4"/>
  <c r="U23" i="4"/>
  <c r="X23" i="4"/>
  <c r="AA23" i="4"/>
  <c r="AD23" i="4"/>
  <c r="C24" i="4"/>
  <c r="M24" i="4"/>
  <c r="P24" i="4"/>
  <c r="R24" i="4"/>
  <c r="S24" i="4"/>
  <c r="U24" i="4"/>
  <c r="X24" i="4"/>
  <c r="AA24" i="4"/>
  <c r="AD24" i="4"/>
  <c r="C25" i="4"/>
  <c r="M25" i="4"/>
  <c r="P25" i="4"/>
  <c r="R25" i="4"/>
  <c r="S25" i="4"/>
  <c r="U25" i="4"/>
  <c r="X25" i="4"/>
  <c r="AA25" i="4"/>
  <c r="AD25" i="4"/>
  <c r="C26" i="4"/>
  <c r="M26" i="4"/>
  <c r="P26" i="4"/>
  <c r="R26" i="4"/>
  <c r="S26" i="4"/>
  <c r="U26" i="4"/>
  <c r="X26" i="4"/>
  <c r="AA26" i="4"/>
  <c r="AD26" i="4"/>
  <c r="C27" i="4"/>
  <c r="M27" i="4"/>
  <c r="P27" i="4"/>
  <c r="R27" i="4"/>
  <c r="S27" i="4"/>
  <c r="U27" i="4"/>
  <c r="X27" i="4"/>
  <c r="Z27" i="4"/>
  <c r="AA27" i="4"/>
  <c r="AD27" i="4"/>
  <c r="C28" i="4"/>
  <c r="M28" i="4"/>
  <c r="P28" i="4"/>
  <c r="R28" i="4"/>
  <c r="S28" i="4"/>
  <c r="U28" i="4"/>
  <c r="X28" i="4"/>
  <c r="AA28" i="4"/>
  <c r="AD28" i="4"/>
  <c r="C29" i="4"/>
  <c r="M29" i="4"/>
  <c r="P29" i="4"/>
  <c r="R29" i="4"/>
  <c r="S29" i="4"/>
  <c r="U29" i="4"/>
  <c r="X29" i="4"/>
  <c r="AA29" i="4"/>
  <c r="AD29" i="4"/>
  <c r="C30" i="4"/>
  <c r="M30" i="4"/>
  <c r="P30" i="4"/>
  <c r="R30" i="4"/>
  <c r="S30" i="4"/>
  <c r="U30" i="4"/>
  <c r="X30" i="4"/>
  <c r="AA30" i="4"/>
  <c r="AD30" i="4"/>
  <c r="C31" i="4"/>
  <c r="M31" i="4"/>
  <c r="O31" i="4"/>
  <c r="P31" i="4"/>
  <c r="R31" i="4"/>
  <c r="S31" i="4"/>
  <c r="T31" i="4"/>
  <c r="U31" i="4"/>
  <c r="W31" i="4"/>
  <c r="X31" i="4"/>
  <c r="Z31" i="4"/>
  <c r="AA31" i="4"/>
  <c r="AD31" i="4"/>
  <c r="C32" i="4"/>
  <c r="M32" i="4"/>
  <c r="O32" i="4"/>
  <c r="P32" i="4"/>
  <c r="R32" i="4"/>
  <c r="S32" i="4"/>
  <c r="T32" i="4"/>
  <c r="U32" i="4"/>
  <c r="W32" i="4"/>
  <c r="X32" i="4"/>
  <c r="AA32" i="4"/>
  <c r="AD32" i="4"/>
  <c r="C33" i="4"/>
  <c r="M33" i="4"/>
  <c r="P33" i="4"/>
  <c r="R33" i="4"/>
  <c r="S33" i="4"/>
  <c r="U33" i="4"/>
  <c r="X33" i="4"/>
  <c r="Z33" i="4"/>
  <c r="AA33" i="4"/>
  <c r="AD33" i="4"/>
  <c r="C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AA34" i="4"/>
  <c r="AC34" i="4"/>
  <c r="AD34" i="4"/>
  <c r="W7" i="4"/>
  <c r="X7" i="4"/>
  <c r="Z7" i="4"/>
  <c r="AA7" i="4"/>
  <c r="AC7" i="4"/>
  <c r="AD7" i="4"/>
  <c r="D7" i="4"/>
  <c r="L7" i="4"/>
  <c r="M7" i="4"/>
  <c r="O7" i="4"/>
  <c r="P7" i="4"/>
  <c r="R7" i="4"/>
  <c r="S7" i="4"/>
  <c r="T7" i="4"/>
  <c r="U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7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E135" i="4" l="1"/>
  <c r="D93" i="4"/>
  <c r="D136" i="4"/>
  <c r="G92" i="4"/>
  <c r="E43" i="4"/>
  <c r="D68" i="4"/>
  <c r="D66" i="4"/>
  <c r="E66" i="4"/>
  <c r="Z29" i="4"/>
  <c r="F131" i="4" l="1"/>
  <c r="D94" i="4"/>
  <c r="D61" i="4"/>
  <c r="D65" i="4"/>
  <c r="Z30" i="4"/>
  <c r="Z28" i="4"/>
  <c r="AC27" i="4" l="1"/>
  <c r="Z16" i="4"/>
  <c r="AC33" i="4"/>
  <c r="D133" i="4" l="1"/>
  <c r="G132" i="4"/>
  <c r="AB33" i="4"/>
  <c r="Z17" i="4"/>
  <c r="AB27" i="4"/>
  <c r="AC28" i="4"/>
  <c r="AC42" i="4"/>
  <c r="K40" i="4"/>
  <c r="E51" i="4" l="1"/>
  <c r="AB42" i="4"/>
  <c r="AC29" i="4"/>
  <c r="Z18" i="4"/>
  <c r="AB28" i="4"/>
  <c r="K45" i="4"/>
  <c r="K41" i="4"/>
  <c r="AB29" i="4" l="1"/>
  <c r="AC30" i="4"/>
  <c r="AB30" i="4" l="1"/>
  <c r="K43" i="4"/>
  <c r="K44" i="4" l="1"/>
  <c r="V19" i="4" l="1"/>
  <c r="Q19" i="4"/>
  <c r="N19" i="4"/>
  <c r="Q31" i="4"/>
  <c r="N38" i="4" l="1"/>
  <c r="N36" i="4"/>
  <c r="N20" i="4"/>
  <c r="N22" i="4"/>
  <c r="N37" i="4"/>
  <c r="N21" i="4"/>
  <c r="N35" i="4"/>
  <c r="L14" i="4"/>
  <c r="K36" i="4"/>
  <c r="K21" i="4"/>
  <c r="K20" i="4"/>
  <c r="K35" i="4"/>
  <c r="G20" i="4"/>
  <c r="K14" i="4" l="1"/>
  <c r="K37" i="4"/>
  <c r="I20" i="4" l="1"/>
  <c r="L38" i="4"/>
  <c r="K38" i="4" l="1"/>
  <c r="AE22" i="4" l="1"/>
  <c r="AB22" i="4"/>
  <c r="V22" i="4"/>
  <c r="Q22" i="4"/>
  <c r="Z38" i="4"/>
  <c r="Z36" i="4" l="1"/>
  <c r="O14" i="4"/>
  <c r="V14" i="4"/>
  <c r="AB9" i="4"/>
  <c r="L32" i="4"/>
  <c r="L31" i="4"/>
  <c r="L29" i="4"/>
  <c r="L39" i="4"/>
  <c r="L30" i="4"/>
  <c r="L28" i="4"/>
  <c r="L27" i="4"/>
  <c r="L26" i="4"/>
  <c r="L25" i="4"/>
  <c r="L24" i="4"/>
  <c r="L23" i="4"/>
  <c r="L18" i="4"/>
  <c r="L17" i="4"/>
  <c r="L16" i="4"/>
  <c r="L15" i="4"/>
  <c r="L13" i="4"/>
  <c r="L12" i="4"/>
  <c r="L11" i="4"/>
  <c r="Y9" i="4"/>
  <c r="AB8" i="4"/>
  <c r="Y8" i="4"/>
  <c r="K29" i="4" l="1"/>
  <c r="Q14" i="4"/>
  <c r="K30" i="4"/>
  <c r="O27" i="4"/>
  <c r="O29" i="4"/>
  <c r="K39" i="4"/>
  <c r="Y36" i="4"/>
  <c r="Z37" i="4"/>
  <c r="O23" i="4"/>
  <c r="N31" i="4"/>
  <c r="N32" i="4"/>
  <c r="N14" i="4"/>
  <c r="K17" i="4"/>
  <c r="K25" i="4"/>
  <c r="K11" i="4"/>
  <c r="K13" i="4"/>
  <c r="K16" i="4"/>
  <c r="K18" i="4"/>
  <c r="K32" i="4"/>
  <c r="K24" i="4"/>
  <c r="K26" i="4"/>
  <c r="N12" i="4"/>
  <c r="N15" i="4"/>
  <c r="N17" i="4"/>
  <c r="K23" i="4"/>
  <c r="O39" i="4"/>
  <c r="K31" i="4"/>
  <c r="K28" i="4"/>
  <c r="K27" i="4"/>
  <c r="Y14" i="4"/>
  <c r="K12" i="4"/>
  <c r="K15" i="4"/>
  <c r="Q16" i="4"/>
  <c r="Q38" i="4"/>
  <c r="O11" i="4"/>
  <c r="N13" i="4"/>
  <c r="N18" i="4"/>
  <c r="V9" i="4"/>
  <c r="V13" i="4"/>
  <c r="Q9" i="4"/>
  <c r="Q13" i="4"/>
  <c r="Q18" i="4"/>
  <c r="O24" i="4" l="1"/>
  <c r="T27" i="4"/>
  <c r="O28" i="4"/>
  <c r="O30" i="4"/>
  <c r="Y37" i="4"/>
  <c r="T39" i="4"/>
  <c r="Q11" i="4"/>
  <c r="Q20" i="4"/>
  <c r="Q21" i="4"/>
  <c r="N16" i="4"/>
  <c r="V18" i="4"/>
  <c r="N11" i="4"/>
  <c r="Q17" i="4"/>
  <c r="AB35" i="4"/>
  <c r="Y35" i="4"/>
  <c r="Y15" i="4"/>
  <c r="Z13" i="4"/>
  <c r="Y10" i="4"/>
  <c r="Q12" i="4"/>
  <c r="V35" i="4"/>
  <c r="Q35" i="4"/>
  <c r="V15" i="4"/>
  <c r="Q15" i="4"/>
  <c r="N24" i="4" l="1"/>
  <c r="O25" i="4"/>
  <c r="W27" i="4"/>
  <c r="T28" i="4"/>
  <c r="Y13" i="4"/>
  <c r="W39" i="4"/>
  <c r="V20" i="4"/>
  <c r="V21" i="4"/>
  <c r="AE35" i="4"/>
  <c r="V17" i="4"/>
  <c r="V38" i="4"/>
  <c r="V16" i="4"/>
  <c r="Y17" i="4"/>
  <c r="AE13" i="4"/>
  <c r="V12" i="4"/>
  <c r="Y12" i="4"/>
  <c r="V11" i="4"/>
  <c r="O26" i="4" l="1"/>
  <c r="N25" i="4"/>
  <c r="T29" i="4"/>
  <c r="W28" i="4"/>
  <c r="Z39" i="4"/>
  <c r="Y16" i="4"/>
  <c r="AE38" i="4"/>
  <c r="AB13" i="4"/>
  <c r="AB11" i="4"/>
  <c r="AE11" i="4"/>
  <c r="Y11" i="4"/>
  <c r="T23" i="4" l="1"/>
  <c r="N26" i="4"/>
  <c r="T30" i="4"/>
  <c r="W29" i="4"/>
  <c r="AC39" i="4"/>
  <c r="AB20" i="4"/>
  <c r="AE20" i="4"/>
  <c r="AB21" i="4"/>
  <c r="AE21" i="4"/>
  <c r="AB38" i="4"/>
  <c r="T24" i="4" l="1"/>
  <c r="W30" i="4"/>
  <c r="AE39" i="4"/>
  <c r="T25" i="4" l="1"/>
  <c r="L33" i="4"/>
  <c r="T26" i="4" l="1"/>
  <c r="O33" i="4"/>
  <c r="K33" i="4"/>
  <c r="W23" i="4" l="1"/>
  <c r="T33" i="4"/>
  <c r="N33" i="4"/>
  <c r="W24" i="4" l="1"/>
  <c r="W33" i="4"/>
  <c r="Q33" i="4"/>
  <c r="W25" i="4" l="1"/>
  <c r="V24" i="4"/>
  <c r="V33" i="4"/>
  <c r="Y33" i="4"/>
  <c r="L42" i="4"/>
  <c r="W26" i="4" l="1"/>
  <c r="V25" i="4"/>
  <c r="O42" i="4"/>
  <c r="K42" i="4"/>
  <c r="V26" i="4" l="1"/>
  <c r="K34" i="4"/>
  <c r="Z34" i="4"/>
  <c r="T42" i="4"/>
  <c r="AB34" i="4" l="1"/>
  <c r="AE34" i="4"/>
  <c r="W42" i="4"/>
  <c r="AB14" i="4" l="1"/>
  <c r="Q32" i="4" l="1"/>
  <c r="V32" i="4" l="1"/>
  <c r="V31" i="4" l="1"/>
  <c r="Y31" i="4" l="1"/>
  <c r="N23" i="4" l="1"/>
  <c r="Q23" i="4"/>
  <c r="V23" i="4"/>
  <c r="Q24" i="4"/>
  <c r="Q25" i="4"/>
  <c r="Q26" i="4"/>
  <c r="Y42" i="4" l="1"/>
  <c r="AE42" i="4" l="1"/>
  <c r="Z32" i="4" l="1"/>
  <c r="Y18" i="4"/>
  <c r="Y32" i="4" l="1"/>
  <c r="AC31" i="4"/>
  <c r="Z19" i="4"/>
  <c r="L19" i="4"/>
  <c r="AC15" i="4"/>
  <c r="AE31" i="4" l="1"/>
  <c r="AB31" i="4"/>
  <c r="AC32" i="4"/>
  <c r="AC16" i="4"/>
  <c r="AB15" i="4"/>
  <c r="AE15" i="4"/>
  <c r="Z20" i="4"/>
  <c r="AE32" i="4" l="1"/>
  <c r="AB32" i="4"/>
  <c r="Y20" i="4"/>
  <c r="Z21" i="4"/>
  <c r="AC17" i="4"/>
  <c r="AB16" i="4"/>
  <c r="AE16" i="4"/>
  <c r="Y21" i="4" l="1"/>
  <c r="AE17" i="4"/>
  <c r="AB17" i="4"/>
  <c r="AC18" i="4"/>
  <c r="L22" i="4" l="1"/>
  <c r="AB18" i="4"/>
  <c r="AE18" i="4"/>
  <c r="Z22" i="4" l="1"/>
  <c r="K22" i="4"/>
  <c r="Z23" i="4" l="1"/>
  <c r="Z24" i="4" l="1"/>
  <c r="Y23" i="4"/>
  <c r="Y24" i="4" l="1"/>
  <c r="Z25" i="4"/>
  <c r="Z26" i="4" l="1"/>
  <c r="Y25" i="4"/>
  <c r="AC23" i="4" l="1"/>
  <c r="Y26" i="4"/>
  <c r="AC24" i="4" l="1"/>
  <c r="AE23" i="4"/>
  <c r="AB23" i="4"/>
  <c r="AC19" i="4"/>
  <c r="AB19" i="4" l="1"/>
  <c r="AC25" i="4"/>
  <c r="AB24" i="4"/>
  <c r="AE24" i="4"/>
  <c r="AE12" i="4"/>
  <c r="AC12" i="4"/>
  <c r="AE33" i="4"/>
  <c r="AC26" i="4" l="1"/>
  <c r="AE25" i="4"/>
  <c r="AB25" i="4"/>
  <c r="AB12" i="4"/>
  <c r="AB26" i="4" l="1"/>
  <c r="AE26" i="4"/>
  <c r="N27" i="4" l="1"/>
  <c r="N30" i="4"/>
  <c r="N29" i="4"/>
  <c r="N28" i="4"/>
  <c r="AE27" i="4"/>
  <c r="Q27" i="4"/>
  <c r="AE30" i="4" l="1"/>
  <c r="AE28" i="4"/>
  <c r="Q30" i="4"/>
  <c r="Q28" i="4"/>
  <c r="AE29" i="4"/>
  <c r="Q29" i="4"/>
  <c r="Y27" i="4" l="1"/>
  <c r="V27" i="4"/>
  <c r="Y30" i="4"/>
  <c r="V28" i="4"/>
  <c r="Y28" i="4"/>
  <c r="V29" i="4"/>
  <c r="Y29" i="4"/>
  <c r="V30" i="4"/>
  <c r="F99" i="4" l="1"/>
  <c r="E95" i="4"/>
  <c r="E96" i="4" l="1"/>
  <c r="G96" i="4" l="1"/>
  <c r="E97" i="4"/>
  <c r="E98" i="4" l="1"/>
  <c r="E99" i="4" l="1"/>
  <c r="H95" i="4"/>
  <c r="H96" i="4"/>
  <c r="H97" i="4"/>
  <c r="H98" i="4"/>
  <c r="H99" i="4"/>
  <c r="H100" i="4"/>
  <c r="H101" i="4"/>
  <c r="H102" i="4"/>
  <c r="G98" i="4" l="1"/>
  <c r="G100" i="4" l="1"/>
  <c r="E102" i="4" l="1"/>
  <c r="E105" i="4" l="1"/>
  <c r="F107" i="4" l="1"/>
  <c r="E107" i="4"/>
  <c r="F109" i="4"/>
  <c r="E109" i="4"/>
  <c r="F111" i="4" l="1"/>
  <c r="E111" i="4"/>
  <c r="E106" i="4"/>
  <c r="E108" i="4"/>
  <c r="E110" i="4"/>
  <c r="E112" i="4"/>
  <c r="H105" i="4"/>
  <c r="E115" i="4"/>
  <c r="E116" i="4"/>
  <c r="E118" i="4"/>
  <c r="E120" i="4"/>
  <c r="F117" i="4" l="1"/>
  <c r="H115" i="4" l="1"/>
  <c r="H117" i="4"/>
  <c r="H119" i="4"/>
  <c r="E145" i="4" l="1"/>
  <c r="D122" i="4"/>
  <c r="F137" i="4"/>
  <c r="F136" i="4"/>
  <c r="F134" i="4"/>
  <c r="E134" i="4"/>
  <c r="D135" i="4"/>
  <c r="F133" i="4"/>
  <c r="H131" i="4"/>
  <c r="H130" i="4"/>
  <c r="H129" i="4"/>
  <c r="E129" i="4"/>
  <c r="H128" i="4"/>
  <c r="E128" i="4"/>
  <c r="H127" i="4"/>
  <c r="F127" i="4"/>
  <c r="E127" i="4"/>
  <c r="H126" i="4"/>
  <c r="F126" i="4"/>
  <c r="E126" i="4"/>
  <c r="H125" i="4"/>
  <c r="E86" i="4"/>
  <c r="E88" i="4"/>
  <c r="E89" i="4"/>
  <c r="E90" i="4"/>
  <c r="E92" i="4"/>
  <c r="E93" i="4"/>
  <c r="E94" i="4"/>
  <c r="E121" i="4"/>
  <c r="E123" i="4"/>
  <c r="E124" i="4"/>
  <c r="F84" i="4"/>
  <c r="H84" i="4"/>
  <c r="F85" i="4"/>
  <c r="H85" i="4"/>
  <c r="F86" i="4"/>
  <c r="H86" i="4"/>
  <c r="H87" i="4"/>
  <c r="F88" i="4"/>
  <c r="H88" i="4"/>
  <c r="F89" i="4"/>
  <c r="H89" i="4"/>
  <c r="F90" i="4"/>
  <c r="H90" i="4"/>
  <c r="F91" i="4"/>
  <c r="F92" i="4"/>
  <c r="H92" i="4"/>
  <c r="F93" i="4"/>
  <c r="H93" i="4"/>
  <c r="F94" i="4"/>
  <c r="H94" i="4"/>
  <c r="H113" i="4"/>
  <c r="H114" i="4"/>
  <c r="F121" i="4"/>
  <c r="H121" i="4"/>
  <c r="F122" i="4"/>
  <c r="H122" i="4"/>
  <c r="F123" i="4"/>
  <c r="H123" i="4"/>
  <c r="F124" i="4"/>
  <c r="H124" i="4"/>
  <c r="D67" i="4"/>
  <c r="E71" i="4"/>
  <c r="E72" i="4"/>
  <c r="F65" i="4"/>
  <c r="E65" i="4"/>
  <c r="D63" i="4"/>
  <c r="F62" i="4"/>
  <c r="E62" i="4"/>
  <c r="F61" i="4"/>
  <c r="E61" i="4"/>
  <c r="D59" i="4"/>
  <c r="F58" i="4"/>
  <c r="E58" i="4"/>
  <c r="F57" i="4"/>
  <c r="E57" i="4"/>
  <c r="E56" i="4"/>
  <c r="F55" i="4"/>
  <c r="E55" i="4"/>
  <c r="E54" i="4"/>
  <c r="F53" i="4"/>
  <c r="E53" i="4"/>
  <c r="E73" i="4"/>
  <c r="E74" i="4"/>
  <c r="D75" i="4"/>
  <c r="E76" i="4"/>
  <c r="E77" i="4"/>
  <c r="E78" i="4"/>
  <c r="E79" i="4"/>
  <c r="E80" i="4"/>
  <c r="E81" i="4"/>
  <c r="E82" i="4"/>
  <c r="E83" i="4"/>
  <c r="E84" i="4"/>
  <c r="E85" i="4"/>
  <c r="F66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D49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E47" i="4"/>
  <c r="D46" i="4"/>
  <c r="F42" i="4"/>
  <c r="E35" i="4"/>
  <c r="F35" i="4"/>
  <c r="H35" i="4"/>
  <c r="E36" i="4"/>
  <c r="F36" i="4"/>
  <c r="H36" i="4"/>
  <c r="E37" i="4"/>
  <c r="E39" i="4"/>
  <c r="F39" i="4"/>
  <c r="H39" i="4"/>
  <c r="E40" i="4"/>
  <c r="F40" i="4"/>
  <c r="H40" i="4"/>
  <c r="E41" i="4"/>
  <c r="F41" i="4"/>
  <c r="H41" i="4"/>
  <c r="H42" i="4"/>
  <c r="H43" i="4"/>
  <c r="E44" i="4"/>
  <c r="F44" i="4"/>
  <c r="H44" i="4"/>
  <c r="E45" i="4"/>
  <c r="F45" i="4"/>
  <c r="H45" i="4"/>
  <c r="H46" i="4"/>
  <c r="H47" i="4"/>
  <c r="F48" i="4"/>
  <c r="H48" i="4"/>
  <c r="H49" i="4"/>
  <c r="H50" i="4"/>
  <c r="F51" i="4"/>
  <c r="H51" i="4"/>
  <c r="H52" i="4"/>
  <c r="H53" i="4"/>
  <c r="H54" i="4"/>
  <c r="H55" i="4"/>
  <c r="H56" i="4"/>
  <c r="H57" i="4"/>
  <c r="D31" i="4"/>
  <c r="D28" i="4"/>
  <c r="F18" i="4"/>
  <c r="H18" i="4"/>
  <c r="F19" i="4"/>
  <c r="H19" i="4"/>
  <c r="F20" i="4"/>
  <c r="H20" i="4"/>
  <c r="F21" i="4"/>
  <c r="H21" i="4"/>
  <c r="F22" i="4"/>
  <c r="H22" i="4"/>
  <c r="E24" i="4"/>
  <c r="E25" i="4"/>
  <c r="E26" i="4"/>
  <c r="E27" i="4"/>
  <c r="E29" i="4"/>
  <c r="E30" i="4"/>
  <c r="E32" i="4"/>
  <c r="E33" i="4"/>
  <c r="E10" i="4"/>
  <c r="E11" i="4"/>
  <c r="E12" i="4"/>
  <c r="E13" i="4"/>
  <c r="E14" i="4"/>
  <c r="E15" i="4"/>
  <c r="E16" i="4"/>
  <c r="E17" i="4"/>
  <c r="E19" i="4"/>
  <c r="E20" i="4"/>
  <c r="E21" i="4"/>
  <c r="E22" i="4"/>
  <c r="E23" i="4"/>
  <c r="E9" i="4"/>
  <c r="E8" i="4"/>
  <c r="H7" i="4"/>
  <c r="H9" i="4"/>
  <c r="H10" i="4"/>
  <c r="H11" i="4"/>
  <c r="H12" i="4"/>
  <c r="H13" i="4"/>
  <c r="H14" i="4"/>
  <c r="H15" i="4"/>
  <c r="H16" i="4"/>
  <c r="H17" i="4"/>
  <c r="H23" i="4"/>
  <c r="H24" i="4"/>
  <c r="H25" i="4"/>
  <c r="H26" i="4"/>
  <c r="H27" i="4"/>
  <c r="H28" i="4"/>
  <c r="H29" i="4"/>
  <c r="H30" i="4"/>
  <c r="H31" i="4"/>
  <c r="H32" i="4"/>
  <c r="H33" i="4"/>
  <c r="H34" i="4"/>
  <c r="K66" i="4"/>
  <c r="K68" i="4"/>
  <c r="K69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8" i="4"/>
  <c r="K89" i="4"/>
  <c r="K90" i="4"/>
  <c r="K91" i="4"/>
  <c r="K92" i="4"/>
  <c r="K93" i="4"/>
  <c r="K94" i="4"/>
  <c r="K95" i="4"/>
  <c r="K121" i="4"/>
  <c r="K122" i="4"/>
  <c r="K123" i="4"/>
  <c r="K124" i="4"/>
  <c r="K126" i="4"/>
  <c r="K127" i="4"/>
  <c r="K128" i="4"/>
  <c r="K133" i="4"/>
  <c r="K134" i="4"/>
  <c r="K136" i="4"/>
  <c r="K137" i="4"/>
  <c r="K138" i="4"/>
  <c r="K139" i="4"/>
  <c r="K140" i="4"/>
  <c r="K141" i="4"/>
  <c r="K142" i="4"/>
  <c r="K143" i="4"/>
  <c r="K144" i="4"/>
  <c r="K145" i="4"/>
  <c r="K62" i="4"/>
  <c r="K58" i="4"/>
  <c r="K57" i="4"/>
  <c r="K56" i="4"/>
  <c r="K55" i="4"/>
  <c r="K54" i="4"/>
  <c r="K53" i="4"/>
  <c r="K51" i="4"/>
  <c r="K67" i="4" l="1"/>
  <c r="D42" i="4"/>
  <c r="F69" i="4"/>
  <c r="D69" i="4"/>
  <c r="K52" i="4"/>
  <c r="D52" i="4"/>
  <c r="D60" i="4"/>
  <c r="E69" i="4"/>
  <c r="F59" i="4"/>
  <c r="E122" i="4"/>
  <c r="H8" i="4"/>
  <c r="G8" i="4"/>
  <c r="F47" i="4"/>
  <c r="D47" i="4"/>
  <c r="H37" i="4"/>
  <c r="G37" i="4"/>
  <c r="F46" i="4"/>
  <c r="E46" i="4"/>
  <c r="F67" i="4"/>
  <c r="F128" i="4"/>
  <c r="D128" i="4"/>
  <c r="H38" i="4"/>
  <c r="G38" i="4"/>
  <c r="E113" i="4"/>
  <c r="K135" i="4"/>
  <c r="F135" i="4"/>
  <c r="F49" i="4"/>
  <c r="E31" i="4"/>
  <c r="E48" i="4"/>
  <c r="D50" i="4"/>
  <c r="E68" i="4"/>
  <c r="K63" i="4"/>
  <c r="F52" i="4"/>
  <c r="F63" i="4"/>
  <c r="E75" i="4"/>
  <c r="F68" i="4"/>
  <c r="E59" i="4" l="1"/>
  <c r="D129" i="4"/>
  <c r="F43" i="4"/>
  <c r="D43" i="4"/>
  <c r="F60" i="4"/>
  <c r="E70" i="4"/>
  <c r="D70" i="4"/>
  <c r="K60" i="4"/>
  <c r="D34" i="4"/>
  <c r="K129" i="4"/>
  <c r="F129" i="4"/>
  <c r="D130" i="4"/>
  <c r="F50" i="4"/>
  <c r="E50" i="4"/>
  <c r="D64" i="4"/>
  <c r="E63" i="4"/>
  <c r="K61" i="4"/>
  <c r="K65" i="4"/>
  <c r="K130" i="4" l="1"/>
  <c r="D131" i="4"/>
  <c r="F130" i="4"/>
  <c r="K64" i="4"/>
  <c r="F64" i="4"/>
  <c r="E64" i="4"/>
  <c r="K59" i="4"/>
  <c r="K131" i="4" l="1"/>
  <c r="G131" i="4" l="1"/>
  <c r="K70" i="4"/>
  <c r="F70" i="4" l="1"/>
  <c r="D132" i="4"/>
  <c r="K132" i="4"/>
  <c r="E67" i="4"/>
  <c r="E49" i="4"/>
  <c r="F132" i="4" l="1"/>
  <c r="E125" i="4"/>
  <c r="F125" i="4"/>
  <c r="D125" i="4"/>
  <c r="K125" i="4"/>
  <c r="E34" i="4"/>
  <c r="T10" i="4" l="1"/>
  <c r="F7" i="4" l="1"/>
  <c r="F9" i="4"/>
  <c r="F10" i="4"/>
  <c r="F11" i="4"/>
  <c r="F12" i="4"/>
  <c r="F13" i="4"/>
  <c r="F15" i="4"/>
  <c r="F16" i="4"/>
  <c r="F17" i="4"/>
  <c r="F14" i="4"/>
  <c r="F23" i="4"/>
  <c r="F24" i="4"/>
  <c r="F25" i="4"/>
  <c r="F26" i="4"/>
  <c r="F27" i="4"/>
  <c r="F33" i="4"/>
  <c r="F28" i="4"/>
  <c r="F30" i="4"/>
  <c r="F29" i="4"/>
  <c r="F31" i="4"/>
  <c r="F32" i="4"/>
  <c r="E18" i="4" l="1"/>
  <c r="E7" i="4"/>
  <c r="K10" i="4" l="1"/>
  <c r="L9" i="4"/>
  <c r="L8" i="4"/>
  <c r="K7" i="4"/>
  <c r="N7" i="4"/>
  <c r="AB7" i="4"/>
  <c r="Y7" i="4"/>
  <c r="K8" i="4" l="1"/>
  <c r="K9" i="4"/>
  <c r="O8" i="4"/>
  <c r="N10" i="4"/>
  <c r="AE9" i="4"/>
  <c r="N9" i="4"/>
  <c r="AE7" i="4"/>
  <c r="V7" i="4"/>
  <c r="Q7" i="4"/>
  <c r="AB10" i="4" l="1"/>
  <c r="T8" i="4"/>
  <c r="N8" i="4"/>
  <c r="V10" i="4"/>
  <c r="V8" i="4" l="1"/>
  <c r="AE8" i="4"/>
  <c r="Q8" i="4"/>
  <c r="AE10" i="4"/>
  <c r="F34" i="4" l="1"/>
  <c r="E28" i="4" l="1"/>
  <c r="D97" i="4" l="1"/>
  <c r="D96" i="4"/>
  <c r="G95" i="4"/>
  <c r="K96" i="4"/>
  <c r="K97" i="4" l="1"/>
  <c r="D99" i="4" l="1"/>
  <c r="D98" i="4" l="1"/>
  <c r="G97" i="4" l="1"/>
  <c r="D101" i="4"/>
  <c r="K98" i="4"/>
  <c r="D100" i="4" l="1"/>
  <c r="G99" i="4" l="1"/>
  <c r="K100" i="4"/>
  <c r="K99" i="4"/>
  <c r="K101" i="4" l="1"/>
  <c r="G101" i="4" l="1"/>
  <c r="D105" i="4"/>
  <c r="D102" i="4"/>
  <c r="E103" i="4" l="1"/>
  <c r="F102" i="4"/>
  <c r="K102" i="4"/>
  <c r="K105" i="4"/>
  <c r="E104" i="4"/>
  <c r="D104" i="4" l="1"/>
  <c r="K104" i="4"/>
  <c r="F104" i="4"/>
  <c r="D103" i="4"/>
  <c r="F103" i="4"/>
  <c r="K103" i="4"/>
  <c r="G105" i="4"/>
  <c r="D106" i="4"/>
  <c r="D107" i="4"/>
  <c r="K107" i="4" l="1"/>
  <c r="G107" i="4"/>
  <c r="D108" i="4"/>
  <c r="F106" i="4"/>
  <c r="K106" i="4"/>
  <c r="D109" i="4"/>
  <c r="K109" i="4" l="1"/>
  <c r="F108" i="4"/>
  <c r="K108" i="4"/>
  <c r="D111" i="4" l="1"/>
  <c r="G109" i="4"/>
  <c r="D110" i="4" l="1"/>
  <c r="F110" i="4"/>
  <c r="K110" i="4"/>
  <c r="K111" i="4"/>
  <c r="G111" i="4" l="1"/>
  <c r="D112" i="4" l="1"/>
  <c r="D115" i="4"/>
  <c r="K112" i="4"/>
  <c r="F112" i="4"/>
  <c r="K115" i="4"/>
  <c r="F113" i="4" l="1"/>
  <c r="D113" i="4"/>
  <c r="K113" i="4"/>
  <c r="G115" i="4"/>
  <c r="D116" i="4"/>
  <c r="D117" i="4"/>
  <c r="D114" i="4" l="1"/>
  <c r="K114" i="4"/>
  <c r="F114" i="4"/>
  <c r="K116" i="4"/>
  <c r="F116" i="4"/>
  <c r="K117" i="4"/>
  <c r="G117" i="4" l="1"/>
  <c r="D118" i="4"/>
  <c r="D119" i="4"/>
  <c r="F118" i="4" l="1"/>
  <c r="K118" i="4"/>
  <c r="K119" i="4"/>
  <c r="G119" i="4" l="1"/>
  <c r="D120" i="4" l="1"/>
  <c r="K120" i="4"/>
  <c r="F120" i="4"/>
  <c r="F87" i="4" l="1"/>
  <c r="K87" i="4"/>
  <c r="D87" i="4"/>
  <c r="E91" i="4" l="1"/>
  <c r="E114" i="4"/>
  <c r="E87" i="4" l="1"/>
  <c r="G91" i="4"/>
  <c r="H91" i="4"/>
  <c r="E52" i="4"/>
  <c r="E60" i="4"/>
</calcChain>
</file>

<file path=xl/sharedStrings.xml><?xml version="1.0" encoding="utf-8"?>
<sst xmlns="http://schemas.openxmlformats.org/spreadsheetml/2006/main" count="23" uniqueCount="23">
  <si>
    <t>Order</t>
  </si>
  <si>
    <t>DT Rem</t>
  </si>
  <si>
    <t>Plug</t>
  </si>
  <si>
    <t>Plug Days</t>
  </si>
  <si>
    <t>DT Plug</t>
  </si>
  <si>
    <t>Polish</t>
  </si>
  <si>
    <t>Polish Days</t>
  </si>
  <si>
    <t>DT Polish</t>
  </si>
  <si>
    <t>String</t>
  </si>
  <si>
    <t>Inst #</t>
  </si>
  <si>
    <t>Run</t>
  </si>
  <si>
    <t>Run Days</t>
  </si>
  <si>
    <t>DT Run</t>
  </si>
  <si>
    <t>Drill Out</t>
  </si>
  <si>
    <t>DO Days</t>
  </si>
  <si>
    <t>DT DO</t>
  </si>
  <si>
    <t>Frac</t>
  </si>
  <si>
    <t>Frac Days</t>
  </si>
  <si>
    <t>DT Frac</t>
  </si>
  <si>
    <t>Pull String</t>
  </si>
  <si>
    <t>Pull Days</t>
  </si>
  <si>
    <t>String Time</t>
  </si>
  <si>
    <t xml:space="preserve">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</si>
</sst>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.0"/>
    <numFmt numFmtId="165" formatCode="[$-409]d\-mmm\-yy;@"/>
    <numFmt numFmtId="166" formatCode="[$-409]dd\-mmm\-yy;@"/>
  </numFmts>
  <fonts count="13" x14ac:knownFonts="1">
    <font>
      <sz val="10"/>
      <name val="Arial"/>
    </font>
    <font>
      <sz val="8"/>
      <name val="Arial"/>
      <family val="2"/>
    </font>
    <font>
      <sz val="20"/>
      <color indexed="9"/>
      <name val="Arial"/>
      <family val="2"/>
    </font>
    <font>
      <b/>
      <sz val="8"/>
      <name val="Arial"/>
      <family val="2"/>
    </font>
    <font>
      <sz val="8"/>
      <color indexed="8"/>
      <name val="Arial"/>
      <family val="2"/>
    </font>
    <font>
      <sz val="8"/>
      <color indexed="8"/>
      <name val="Arial"/>
      <family val="2"/>
    </font>
    <font>
      <b/>
      <sz val="8"/>
      <color indexed="8"/>
      <name val="Arial"/>
      <family val="2"/>
    </font>
    <font>
      <sz val="20"/>
      <color indexed="8"/>
      <name val="Arial"/>
      <family val="2"/>
    </font>
    <font>
      <b/>
      <sz val="20"/>
      <color indexed="8"/>
      <name val="Arial"/>
      <family val="2"/>
    </font>
    <font>
      <sz val="8"/>
      <color theme="1"/>
      <name val="Arial"/>
      <family val="2"/>
    </font>
    <font>
      <sz val="20"/>
      <color theme="1"/>
      <name val="Arial"/>
      <family val="2"/>
    </font>
    <font>
      <b/>
      <sz val="8"/>
      <color theme="1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12" fillId="0" borderId="0" applyFont="0" applyFill="0" applyBorder="0" applyAlignment="0" applyProtection="0"/>
  </cellStyleXfs>
  <cellXfs count="59">
    <xf numFmtId="0" fontId="0" fillId="0" borderId="0" xfId="0"/>
    <xf numFmtId="0" fontId="1" fillId="0" borderId="0" xfId="0" applyFont="1" applyAlignment="1">
      <alignment horizontal="center"/>
    </xf>
    <xf numFmtId="165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  <xf numFmtId="165" fontId="2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165" fontId="1" fillId="0" borderId="3" xfId="0" applyNumberFormat="1" applyFont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0" xfId="0" applyFont="1" applyAlignment="1">
      <alignment horizontal="center" wrapText="1"/>
    </xf>
    <xf numFmtId="0" fontId="3" fillId="0" borderId="1" xfId="0" applyFont="1" applyBorder="1" applyAlignment="1">
      <alignment horizontal="center" wrapText="1"/>
    </xf>
    <xf numFmtId="0" fontId="1" fillId="0" borderId="3" xfId="0" applyFont="1" applyBorder="1" applyAlignment="1">
      <alignment horizontal="center" wrapText="1"/>
    </xf>
    <xf numFmtId="165" fontId="3" fillId="0" borderId="1" xfId="0" applyNumberFormat="1" applyFont="1" applyBorder="1" applyAlignment="1">
      <alignment horizontal="center" wrapText="1"/>
    </xf>
    <xf numFmtId="0" fontId="5" fillId="0" borderId="0" xfId="0" applyFont="1" applyAlignment="1">
      <alignment horizontal="center"/>
    </xf>
    <xf numFmtId="0" fontId="6" fillId="0" borderId="1" xfId="0" applyFont="1" applyBorder="1" applyAlignment="1">
      <alignment horizontal="center" wrapText="1"/>
    </xf>
    <xf numFmtId="1" fontId="5" fillId="0" borderId="0" xfId="0" applyNumberFormat="1" applyFont="1" applyAlignment="1">
      <alignment horizontal="center"/>
    </xf>
    <xf numFmtId="1" fontId="7" fillId="0" borderId="0" xfId="0" applyNumberFormat="1" applyFont="1" applyAlignment="1">
      <alignment horizontal="center" vertical="center"/>
    </xf>
    <xf numFmtId="1" fontId="6" fillId="0" borderId="1" xfId="0" applyNumberFormat="1" applyFont="1" applyBorder="1" applyAlignment="1">
      <alignment horizontal="center"/>
    </xf>
    <xf numFmtId="14" fontId="8" fillId="0" borderId="0" xfId="0" applyNumberFormat="1" applyFont="1" applyAlignment="1">
      <alignment horizontal="left" vertical="center"/>
    </xf>
    <xf numFmtId="3" fontId="4" fillId="0" borderId="0" xfId="0" applyNumberFormat="1" applyFont="1" applyAlignment="1">
      <alignment horizontal="center"/>
    </xf>
    <xf numFmtId="164" fontId="9" fillId="0" borderId="0" xfId="0" applyNumberFormat="1" applyFont="1" applyAlignment="1">
      <alignment horizontal="center"/>
    </xf>
    <xf numFmtId="164" fontId="10" fillId="0" borderId="0" xfId="0" applyNumberFormat="1" applyFont="1" applyAlignment="1">
      <alignment horizontal="center" vertical="center"/>
    </xf>
    <xf numFmtId="164" fontId="9" fillId="0" borderId="3" xfId="0" applyNumberFormat="1" applyFont="1" applyBorder="1" applyAlignment="1">
      <alignment horizontal="center"/>
    </xf>
    <xf numFmtId="164" fontId="11" fillId="0" borderId="1" xfId="0" applyNumberFormat="1" applyFont="1" applyBorder="1" applyAlignment="1">
      <alignment horizontal="center" wrapText="1"/>
    </xf>
    <xf numFmtId="0" fontId="1" fillId="0" borderId="6" xfId="0" applyFont="1" applyBorder="1" applyAlignment="1">
      <alignment horizontal="center" wrapText="1"/>
    </xf>
    <xf numFmtId="0" fontId="2" fillId="0" borderId="6" xfId="0" applyFont="1" applyBorder="1" applyAlignment="1">
      <alignment horizontal="center" vertical="center" wrapText="1"/>
    </xf>
    <xf numFmtId="164" fontId="10" fillId="0" borderId="2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1" fontId="4" fillId="0" borderId="0" xfId="0" applyNumberFormat="1" applyFont="1" applyAlignment="1">
      <alignment horizontal="center"/>
    </xf>
    <xf numFmtId="0" fontId="4" fillId="0" borderId="3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4" fillId="0" borderId="0" xfId="0" applyFont="1" applyAlignment="1">
      <alignment horizontal="center" vertical="center"/>
    </xf>
    <xf numFmtId="165" fontId="4" fillId="0" borderId="3" xfId="0" applyNumberFormat="1" applyFont="1" applyBorder="1" applyAlignment="1">
      <alignment horizontal="center"/>
    </xf>
    <xf numFmtId="1" fontId="4" fillId="0" borderId="3" xfId="0" applyNumberFormat="1" applyFont="1" applyBorder="1" applyAlignment="1">
      <alignment horizontal="center"/>
    </xf>
    <xf numFmtId="3" fontId="4" fillId="0" borderId="3" xfId="0" applyNumberFormat="1" applyFont="1" applyBorder="1" applyAlignment="1">
      <alignment horizontal="center"/>
    </xf>
    <xf numFmtId="166" fontId="4" fillId="0" borderId="0" xfId="0" applyNumberFormat="1" applyFont="1" applyAlignment="1">
      <alignment horizontal="center"/>
    </xf>
    <xf numFmtId="166" fontId="7" fillId="0" borderId="0" xfId="0" applyNumberFormat="1" applyFont="1" applyAlignment="1">
      <alignment horizontal="center" vertical="center"/>
    </xf>
    <xf numFmtId="166" fontId="4" fillId="0" borderId="3" xfId="0" applyNumberFormat="1" applyFont="1" applyBorder="1" applyAlignment="1">
      <alignment horizontal="center"/>
    </xf>
    <xf numFmtId="166" fontId="5" fillId="0" borderId="0" xfId="0" applyNumberFormat="1" applyFont="1" applyAlignment="1">
      <alignment horizontal="center"/>
    </xf>
    <xf numFmtId="165" fontId="3" fillId="0" borderId="1" xfId="0" applyNumberFormat="1" applyFont="1" applyBorder="1" applyAlignment="1">
      <alignment horizontal="center"/>
    </xf>
    <xf numFmtId="165" fontId="9" fillId="0" borderId="0" xfId="0" applyNumberFormat="1" applyFont="1" applyAlignment="1">
      <alignment horizontal="center"/>
    </xf>
    <xf numFmtId="165" fontId="10" fillId="0" borderId="0" xfId="0" applyNumberFormat="1" applyFont="1" applyAlignment="1">
      <alignment horizontal="center" vertical="center"/>
    </xf>
    <xf numFmtId="165" fontId="9" fillId="0" borderId="5" xfId="0" applyNumberFormat="1" applyFont="1" applyBorder="1" applyAlignment="1">
      <alignment horizontal="center"/>
    </xf>
    <xf numFmtId="165" fontId="10" fillId="0" borderId="5" xfId="0" applyNumberFormat="1" applyFont="1" applyBorder="1" applyAlignment="1">
      <alignment horizontal="center" vertical="center"/>
    </xf>
    <xf numFmtId="165" fontId="10" fillId="0" borderId="7" xfId="0" applyNumberFormat="1" applyFont="1" applyBorder="1" applyAlignment="1">
      <alignment horizontal="center" vertical="center"/>
    </xf>
    <xf numFmtId="165" fontId="1" fillId="0" borderId="0" xfId="0" applyNumberFormat="1" applyFont="1" applyAlignment="1">
      <alignment horizontal="center" vertical="center"/>
    </xf>
    <xf numFmtId="165" fontId="11" fillId="0" borderId="1" xfId="0" applyNumberFormat="1" applyFont="1" applyBorder="1" applyAlignment="1">
      <alignment horizontal="center" wrapText="1"/>
    </xf>
    <xf numFmtId="165" fontId="9" fillId="0" borderId="3" xfId="0" applyNumberFormat="1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3" fontId="1" fillId="0" borderId="0" xfId="0" applyNumberFormat="1" applyFont="1" applyAlignment="1">
      <alignment horizontal="center" vertical="center"/>
    </xf>
    <xf numFmtId="3" fontId="3" fillId="0" borderId="1" xfId="0" applyNumberFormat="1" applyFont="1" applyBorder="1" applyAlignment="1">
      <alignment horizontal="center"/>
    </xf>
    <xf numFmtId="3" fontId="1" fillId="0" borderId="3" xfId="0" applyNumberFormat="1" applyFont="1" applyBorder="1" applyAlignment="1">
      <alignment horizontal="center"/>
    </xf>
    <xf numFmtId="3" fontId="9" fillId="0" borderId="0" xfId="0" applyNumberFormat="1" applyFont="1" applyAlignment="1">
      <alignment horizontal="center"/>
    </xf>
    <xf numFmtId="3" fontId="10" fillId="0" borderId="0" xfId="0" applyNumberFormat="1" applyFont="1" applyAlignment="1">
      <alignment horizontal="center" vertical="center"/>
    </xf>
    <xf numFmtId="3" fontId="3" fillId="0" borderId="1" xfId="0" applyNumberFormat="1" applyFont="1" applyBorder="1" applyAlignment="1">
      <alignment horizontal="center" wrapText="1"/>
    </xf>
    <xf numFmtId="3" fontId="1" fillId="0" borderId="3" xfId="0" applyNumberFormat="1" applyFont="1" applyBorder="1" applyAlignment="1">
      <alignment horizontal="center" wrapText="1"/>
    </xf>
    <xf numFmtId="43" fontId="1" fillId="0" borderId="0" xfId="1" applyFont="1" applyAlignment="1">
      <alignment horizontal="center"/>
    </xf>
    <xf numFmtId="14" fontId="1" fillId="0" borderId="0" xfId="0" applyNumberFormat="1" applyFont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CC6600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22622163146162"/>
          <c:y val="8.5773789228717812E-2"/>
          <c:w val="0.84872105286318866"/>
          <c:h val="0.90566674429683258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Modeler!$D$4</c:f>
              <c:strCache>
                <c:ptCount val="1"/>
                <c:pt idx="0">
                  <c:v>First Activity Start Date</c:v>
                </c:pt>
              </c:strCache>
            </c:strRef>
          </c:tx>
          <c:spPr>
            <a:noFill/>
            <a:ln w="25400">
              <a:noFill/>
            </a:ln>
          </c:spPr>
          <c:invertIfNegative val="0"/>
          <c:cat>
            <c:strRef>
              <c:f>Modeler!$C$7:$C$150</c:f>
              <c:strCache>
                <c:ptCount val="144"/>
                <c:pt idx="0">
                  <c:v>DATA GATHERING</c:v>
                </c:pt>
                <c:pt idx="1">
                  <c:v>Seismic Acquisition / Interpretation</c:v>
                </c:pt>
                <c:pt idx="2">
                  <c:v>Geologic Model</c:v>
                </c:pt>
                <c:pt idx="3">
                  <c:v>Reservoir Model</c:v>
                </c:pt>
                <c:pt idx="4">
                  <c:v>- Well Spacing/Temp/Rate Model - 20MW</c:v>
                </c:pt>
                <c:pt idx="5">
                  <c:v>- 20MW Full Simulation</c:v>
                </c:pt>
                <c:pt idx="6">
                  <c:v>- 20MW Development Plan</c:v>
                </c:pt>
                <c:pt idx="7">
                  <c:v>Reservoir Test Analysis - Pure #1</c:v>
                </c:pt>
                <c:pt idx="8">
                  <c:v>Core Analysis - Water Oak #1-1PV</c:v>
                </c:pt>
                <c:pt idx="9">
                  <c:v>Reservoir Test Analysis - Water Oak #1 - 1PV</c:v>
                </c:pt>
                <c:pt idx="10">
                  <c:v>0</c:v>
                </c:pt>
                <c:pt idx="11">
                  <c:v>PURE #1 ACTIVITIES</c:v>
                </c:pt>
                <c:pt idx="12">
                  <c:v>Acquisition</c:v>
                </c:pt>
                <c:pt idx="13">
                  <c:v>SUA &amp; Damages</c:v>
                </c:pt>
                <c:pt idx="14">
                  <c:v>Surface Site Prep, Facilities Repair &amp; Gas Mktg</c:v>
                </c:pt>
                <c:pt idx="15">
                  <c:v>Workover/Re-Entry</c:v>
                </c:pt>
                <c:pt idx="16">
                  <c:v>Flow Test</c:v>
                </c:pt>
                <c:pt idx="17">
                  <c:v>Conversion Workover - Ops Planning</c:v>
                </c:pt>
                <c:pt idx="18">
                  <c:v>Permitting for Conversion</c:v>
                </c:pt>
                <c:pt idx="19">
                  <c:v>Conversion Workover</c:v>
                </c:pt>
                <c:pt idx="20">
                  <c:v>0</c:v>
                </c:pt>
                <c:pt idx="21">
                  <c:v>PURE #1D ACTIVITIES</c:v>
                </c:pt>
                <c:pt idx="22">
                  <c:v>Acquisition</c:v>
                </c:pt>
                <c:pt idx="23">
                  <c:v>Surface Site Prep, Facilities Repair &amp; Injection Testing</c:v>
                </c:pt>
                <c:pt idx="24">
                  <c:v>Disposal Operations</c:v>
                </c:pt>
                <c:pt idx="25">
                  <c:v>Surface Equipment Removal</c:v>
                </c:pt>
                <c:pt idx="26">
                  <c:v>0</c:v>
                </c:pt>
                <c:pt idx="27">
                  <c:v>WATER OAK 1 P011CR</c:v>
                </c:pt>
                <c:pt idx="28">
                  <c:v>OCTG Order</c:v>
                </c:pt>
                <c:pt idx="29">
                  <c:v>Wellhead Order</c:v>
                </c:pt>
                <c:pt idx="30">
                  <c:v>Land Work, SUA &amp; Damages</c:v>
                </c:pt>
                <c:pt idx="31">
                  <c:v>Environmental &amp; Permitting</c:v>
                </c:pt>
                <c:pt idx="32">
                  <c:v>Pad Construction &amp; Conductor</c:v>
                </c:pt>
                <c:pt idx="33">
                  <c:v>Final Drill Plan and DWOP</c:v>
                </c:pt>
                <c:pt idx="34">
                  <c:v>Drill to core point</c:v>
                </c:pt>
                <c:pt idx="35">
                  <c:v>Core, Log &amp; Run Pipe</c:v>
                </c:pt>
                <c:pt idx="36">
                  <c:v>Wait on data processing for log &amp; core</c:v>
                </c:pt>
                <c:pt idx="37">
                  <c:v>Completion Planning &amp; CWOP</c:v>
                </c:pt>
                <c:pt idx="38">
                  <c:v>Completion Operations</c:v>
                </c:pt>
                <c:pt idx="39">
                  <c:v>Perforate and DFIT's (5 intervals)</c:v>
                </c:pt>
                <c:pt idx="40">
                  <c:v>Set Packer &amp; Tube Up</c:v>
                </c:pt>
                <c:pt idx="41">
                  <c:v>Flow Test</c:v>
                </c:pt>
                <c:pt idx="42">
                  <c:v>PDD &amp; PBU</c:v>
                </c:pt>
                <c:pt idx="43">
                  <c:v>Turn in Line</c:v>
                </c:pt>
                <c:pt idx="44">
                  <c:v>0</c:v>
                </c:pt>
                <c:pt idx="45">
                  <c:v>WATER OAK 1 D021</c:v>
                </c:pt>
                <c:pt idx="46">
                  <c:v>OCTG Order</c:v>
                </c:pt>
                <c:pt idx="47">
                  <c:v>Wellhead Order</c:v>
                </c:pt>
                <c:pt idx="48">
                  <c:v>Land Work, SUA &amp; Damages</c:v>
                </c:pt>
                <c:pt idx="49">
                  <c:v>Permitting &amp; Follow-up notifications</c:v>
                </c:pt>
                <c:pt idx="50">
                  <c:v>Pad Construction &amp; Conductor</c:v>
                </c:pt>
                <c:pt idx="51">
                  <c:v>Final Drill Plan and DWOP</c:v>
                </c:pt>
                <c:pt idx="52">
                  <c:v>Drill to TD</c:v>
                </c:pt>
                <c:pt idx="53">
                  <c:v>Log &amp; Run pipe</c:v>
                </c:pt>
                <c:pt idx="54">
                  <c:v>Completion Planning &amp; CWOP</c:v>
                </c:pt>
                <c:pt idx="55">
                  <c:v>Completion Operations</c:v>
                </c:pt>
                <c:pt idx="56">
                  <c:v>Perforate and DFIT's (5 intervals)</c:v>
                </c:pt>
                <c:pt idx="57">
                  <c:v>Set Packer &amp; Tube Up</c:v>
                </c:pt>
                <c:pt idx="58">
                  <c:v>Put well in service</c:v>
                </c:pt>
                <c:pt idx="59">
                  <c:v>0</c:v>
                </c:pt>
                <c:pt idx="60">
                  <c:v>FACILITIES CONSTRUCTION</c:v>
                </c:pt>
                <c:pt idx="61">
                  <c:v>Design Facilities</c:v>
                </c:pt>
                <c:pt idx="62">
                  <c:v>Order Equipment</c:v>
                </c:pt>
                <c:pt idx="63">
                  <c:v>Equip new wells</c:v>
                </c:pt>
                <c:pt idx="64">
                  <c:v>W/G Production and Injection Line Installation</c:v>
                </c:pt>
                <c:pt idx="65">
                  <c:v>Gas Marketing Agreements</c:v>
                </c:pt>
                <c:pt idx="66">
                  <c:v>0</c:v>
                </c:pt>
                <c:pt idx="67">
                  <c:v>0</c:v>
                </c:pt>
                <c:pt idx="68">
                  <c:v>CYMRIC 1MW ORC</c:v>
                </c:pt>
                <c:pt idx="69">
                  <c:v>Acquisition</c:v>
                </c:pt>
                <c:pt idx="70">
                  <c:v>Site Selection/Survey/Permitting</c:v>
                </c:pt>
                <c:pt idx="71">
                  <c:v>Construct Pad and Civil Works</c:v>
                </c:pt>
                <c:pt idx="72">
                  <c:v>Installation, Repairs &amp; Refurbishment</c:v>
                </c:pt>
                <c:pt idx="73">
                  <c:v>Testing &amp; Commissioning</c:v>
                </c:pt>
                <c:pt idx="74">
                  <c:v>Transmission Design &amp; Integration Plan</c:v>
                </c:pt>
                <c:pt idx="75">
                  <c:v>SUA &amp; Damages</c:v>
                </c:pt>
                <c:pt idx="76">
                  <c:v>Transmission Line Construction</c:v>
                </c:pt>
                <c:pt idx="77">
                  <c:v>Connection/Integration</c:v>
                </c:pt>
                <c:pt idx="78">
                  <c:v>Power Delivery &amp; Sales</c:v>
                </c:pt>
                <c:pt idx="79">
                  <c:v>0</c:v>
                </c:pt>
                <c:pt idx="80">
                  <c:v>PHASE II DEVELOPMENT</c:v>
                </c:pt>
                <c:pt idx="81">
                  <c:v>OCTG Order</c:v>
                </c:pt>
                <c:pt idx="82">
                  <c:v>Wellhead Order</c:v>
                </c:pt>
                <c:pt idx="83">
                  <c:v>Land/Lease</c:v>
                </c:pt>
                <c:pt idx="84">
                  <c:v>SUA &amp; Damages</c:v>
                </c:pt>
                <c:pt idx="85">
                  <c:v>Permitting</c:v>
                </c:pt>
                <c:pt idx="86">
                  <c:v>Pad Construction</c:v>
                </c:pt>
                <c:pt idx="87">
                  <c:v>Conductor - WO1 P022, P032, N042, N052</c:v>
                </c:pt>
                <c:pt idx="88">
                  <c:v>D&amp;C WO1 P022</c:v>
                </c:pt>
                <c:pt idx="89">
                  <c:v>Equip P022</c:v>
                </c:pt>
                <c:pt idx="90">
                  <c:v>D&amp;C WO1 P032</c:v>
                </c:pt>
                <c:pt idx="91">
                  <c:v>Equip P032</c:v>
                </c:pt>
                <c:pt idx="92">
                  <c:v>D&amp;C WO1 N042</c:v>
                </c:pt>
                <c:pt idx="93">
                  <c:v>Equip N042</c:v>
                </c:pt>
                <c:pt idx="94">
                  <c:v>D&amp;C WO1 N052</c:v>
                </c:pt>
                <c:pt idx="95">
                  <c:v>Equip N052</c:v>
                </c:pt>
                <c:pt idx="96">
                  <c:v>Pad Construction</c:v>
                </c:pt>
                <c:pt idx="97">
                  <c:v>Conductor - WO1 P062, P072, N082, N092</c:v>
                </c:pt>
                <c:pt idx="98">
                  <c:v>D&amp;C WO1 P062</c:v>
                </c:pt>
                <c:pt idx="99">
                  <c:v>Equip P062</c:v>
                </c:pt>
                <c:pt idx="100">
                  <c:v>D&amp;C WO1 P072</c:v>
                </c:pt>
                <c:pt idx="101">
                  <c:v>Equip P072</c:v>
                </c:pt>
                <c:pt idx="102">
                  <c:v>D&amp;C WO1 N082</c:v>
                </c:pt>
                <c:pt idx="103">
                  <c:v>Equip N082</c:v>
                </c:pt>
                <c:pt idx="104">
                  <c:v>D&amp;C WO1 N092</c:v>
                </c:pt>
                <c:pt idx="105">
                  <c:v>Equip N092</c:v>
                </c:pt>
                <c:pt idx="106">
                  <c:v>Pad Construction</c:v>
                </c:pt>
                <c:pt idx="107">
                  <c:v>Conductor - WO1 N101, P111, N121</c:v>
                </c:pt>
                <c:pt idx="108">
                  <c:v>D&amp;C WO1 N101</c:v>
                </c:pt>
                <c:pt idx="109">
                  <c:v>Equip N101</c:v>
                </c:pt>
                <c:pt idx="110">
                  <c:v>D&amp;C WO1 P111</c:v>
                </c:pt>
                <c:pt idx="111">
                  <c:v>Equip P111</c:v>
                </c:pt>
                <c:pt idx="112">
                  <c:v>D&amp;C WO1 N121</c:v>
                </c:pt>
                <c:pt idx="113">
                  <c:v>Equip N121</c:v>
                </c:pt>
                <c:pt idx="114">
                  <c:v>0</c:v>
                </c:pt>
                <c:pt idx="115">
                  <c:v>MIDSTREAM CONSTRUCTION</c:v>
                </c:pt>
                <c:pt idx="116">
                  <c:v>W&amp;G Trunk Lines (3)</c:v>
                </c:pt>
                <c:pt idx="117">
                  <c:v>0</c:v>
                </c:pt>
                <c:pt idx="118">
                  <c:v>WATER OAK PLANT 1 (20MW)</c:v>
                </c:pt>
                <c:pt idx="119">
                  <c:v>RFP</c:v>
                </c:pt>
                <c:pt idx="120">
                  <c:v>Permitting</c:v>
                </c:pt>
                <c:pt idx="121">
                  <c:v>Preliminary Design</c:v>
                </c:pt>
                <c:pt idx="122">
                  <c:v>FEED</c:v>
                </c:pt>
                <c:pt idx="123">
                  <c:v>Fabrication</c:v>
                </c:pt>
                <c:pt idx="124">
                  <c:v>Mobilization</c:v>
                </c:pt>
                <c:pt idx="125">
                  <c:v>Construction</c:v>
                </c:pt>
                <c:pt idx="126">
                  <c:v>Installation</c:v>
                </c:pt>
                <c:pt idx="127">
                  <c:v>Commisioning</c:v>
                </c:pt>
                <c:pt idx="128">
                  <c:v>Transmission Design &amp; Integration Plan</c:v>
                </c:pt>
                <c:pt idx="129">
                  <c:v>Transmission Line Construction</c:v>
                </c:pt>
                <c:pt idx="130">
                  <c:v>Connection/Integration</c:v>
                </c:pt>
                <c:pt idx="131">
                  <c:v>Power Delivery &amp; Sales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strCache>
            </c:strRef>
          </c:cat>
          <c:val>
            <c:numRef>
              <c:f>Modeler!$D$7:$D$150</c:f>
              <c:numCache>
                <c:formatCode>[$-409]dd\-mmm\-yy;@</c:formatCode>
                <c:ptCount val="144"/>
                <c:pt idx="0">
                  <c:v>44835</c:v>
                </c:pt>
                <c:pt idx="1">
                  <c:v>44835</c:v>
                </c:pt>
                <c:pt idx="2">
                  <c:v>44896</c:v>
                </c:pt>
                <c:pt idx="3">
                  <c:v>44896</c:v>
                </c:pt>
                <c:pt idx="4">
                  <c:v>44927</c:v>
                </c:pt>
                <c:pt idx="5">
                  <c:v>44927</c:v>
                </c:pt>
                <c:pt idx="6">
                  <c:v>44958</c:v>
                </c:pt>
                <c:pt idx="7">
                  <c:v>44958</c:v>
                </c:pt>
                <c:pt idx="8">
                  <c:v>45139</c:v>
                </c:pt>
                <c:pt idx="9">
                  <c:v>45200</c:v>
                </c:pt>
                <c:pt idx="10">
                  <c:v>0</c:v>
                </c:pt>
                <c:pt idx="11">
                  <c:v>44835</c:v>
                </c:pt>
                <c:pt idx="12">
                  <c:v>44835</c:v>
                </c:pt>
                <c:pt idx="13">
                  <c:v>44866</c:v>
                </c:pt>
                <c:pt idx="14">
                  <c:v>44896</c:v>
                </c:pt>
                <c:pt idx="15">
                  <c:v>44896</c:v>
                </c:pt>
                <c:pt idx="16">
                  <c:v>44926</c:v>
                </c:pt>
                <c:pt idx="17">
                  <c:v>45017</c:v>
                </c:pt>
                <c:pt idx="18">
                  <c:v>45170</c:v>
                </c:pt>
                <c:pt idx="19">
                  <c:v>45214</c:v>
                </c:pt>
                <c:pt idx="20">
                  <c:v>0</c:v>
                </c:pt>
                <c:pt idx="21">
                  <c:v>44835</c:v>
                </c:pt>
                <c:pt idx="22">
                  <c:v>44835</c:v>
                </c:pt>
                <c:pt idx="23">
                  <c:v>44866</c:v>
                </c:pt>
                <c:pt idx="24">
                  <c:v>44926</c:v>
                </c:pt>
                <c:pt idx="25">
                  <c:v>45292</c:v>
                </c:pt>
                <c:pt idx="26">
                  <c:v>0</c:v>
                </c:pt>
                <c:pt idx="27">
                  <c:v>44866</c:v>
                </c:pt>
                <c:pt idx="28">
                  <c:v>44915</c:v>
                </c:pt>
                <c:pt idx="29">
                  <c:v>44915</c:v>
                </c:pt>
                <c:pt idx="30">
                  <c:v>44866</c:v>
                </c:pt>
                <c:pt idx="31">
                  <c:v>44907</c:v>
                </c:pt>
                <c:pt idx="32">
                  <c:v>44986</c:v>
                </c:pt>
                <c:pt idx="33">
                  <c:v>44986</c:v>
                </c:pt>
                <c:pt idx="34">
                  <c:v>45078</c:v>
                </c:pt>
                <c:pt idx="35">
                  <c:v>45108</c:v>
                </c:pt>
                <c:pt idx="36">
                  <c:v>45110</c:v>
                </c:pt>
                <c:pt idx="37">
                  <c:v>45156</c:v>
                </c:pt>
                <c:pt idx="38">
                  <c:v>45166</c:v>
                </c:pt>
                <c:pt idx="39">
                  <c:v>45171</c:v>
                </c:pt>
                <c:pt idx="40">
                  <c:v>45181</c:v>
                </c:pt>
                <c:pt idx="41">
                  <c:v>45293</c:v>
                </c:pt>
                <c:pt idx="42">
                  <c:v>45323</c:v>
                </c:pt>
                <c:pt idx="43">
                  <c:v>45344</c:v>
                </c:pt>
                <c:pt idx="44">
                  <c:v>0</c:v>
                </c:pt>
                <c:pt idx="45">
                  <c:v>44896</c:v>
                </c:pt>
                <c:pt idx="46">
                  <c:v>44896</c:v>
                </c:pt>
                <c:pt idx="47">
                  <c:v>44900</c:v>
                </c:pt>
                <c:pt idx="48">
                  <c:v>44942</c:v>
                </c:pt>
                <c:pt idx="49">
                  <c:v>44900</c:v>
                </c:pt>
                <c:pt idx="50">
                  <c:v>45018</c:v>
                </c:pt>
                <c:pt idx="51">
                  <c:v>45089</c:v>
                </c:pt>
                <c:pt idx="52">
                  <c:v>45168</c:v>
                </c:pt>
                <c:pt idx="53">
                  <c:v>45186</c:v>
                </c:pt>
                <c:pt idx="54">
                  <c:v>45138</c:v>
                </c:pt>
                <c:pt idx="55">
                  <c:v>45152</c:v>
                </c:pt>
                <c:pt idx="56">
                  <c:v>45157</c:v>
                </c:pt>
                <c:pt idx="57">
                  <c:v>45167</c:v>
                </c:pt>
                <c:pt idx="58">
                  <c:v>45323</c:v>
                </c:pt>
                <c:pt idx="59">
                  <c:v>0</c:v>
                </c:pt>
                <c:pt idx="60">
                  <c:v>44931</c:v>
                </c:pt>
                <c:pt idx="61">
                  <c:v>44931</c:v>
                </c:pt>
                <c:pt idx="62">
                  <c:v>44986</c:v>
                </c:pt>
                <c:pt idx="63">
                  <c:v>45117</c:v>
                </c:pt>
                <c:pt idx="64">
                  <c:v>45078</c:v>
                </c:pt>
                <c:pt idx="65">
                  <c:v>45139</c:v>
                </c:pt>
                <c:pt idx="66">
                  <c:v>0</c:v>
                </c:pt>
                <c:pt idx="67">
                  <c:v>0</c:v>
                </c:pt>
                <c:pt idx="68">
                  <c:v>44896</c:v>
                </c:pt>
                <c:pt idx="69">
                  <c:v>44896</c:v>
                </c:pt>
                <c:pt idx="70">
                  <c:v>44927</c:v>
                </c:pt>
                <c:pt idx="71">
                  <c:v>44958</c:v>
                </c:pt>
                <c:pt idx="72">
                  <c:v>44986</c:v>
                </c:pt>
                <c:pt idx="73">
                  <c:v>45231</c:v>
                </c:pt>
                <c:pt idx="74">
                  <c:v>44927</c:v>
                </c:pt>
                <c:pt idx="75">
                  <c:v>45047</c:v>
                </c:pt>
                <c:pt idx="76">
                  <c:v>45078</c:v>
                </c:pt>
                <c:pt idx="77">
                  <c:v>45170</c:v>
                </c:pt>
                <c:pt idx="78">
                  <c:v>45261</c:v>
                </c:pt>
                <c:pt idx="79">
                  <c:v>0</c:v>
                </c:pt>
                <c:pt idx="80">
                  <c:v>45078</c:v>
                </c:pt>
                <c:pt idx="81">
                  <c:v>45200</c:v>
                </c:pt>
                <c:pt idx="82">
                  <c:v>45200</c:v>
                </c:pt>
                <c:pt idx="83">
                  <c:v>45170</c:v>
                </c:pt>
                <c:pt idx="84">
                  <c:v>45078</c:v>
                </c:pt>
                <c:pt idx="85">
                  <c:v>45108</c:v>
                </c:pt>
                <c:pt idx="86">
                  <c:v>45248</c:v>
                </c:pt>
                <c:pt idx="87">
                  <c:v>45258</c:v>
                </c:pt>
                <c:pt idx="88">
                  <c:v>45352</c:v>
                </c:pt>
                <c:pt idx="89">
                  <c:v>45417</c:v>
                </c:pt>
                <c:pt idx="90">
                  <c:v>45417</c:v>
                </c:pt>
                <c:pt idx="91">
                  <c:v>45482</c:v>
                </c:pt>
                <c:pt idx="92">
                  <c:v>45482</c:v>
                </c:pt>
                <c:pt idx="93">
                  <c:v>45547</c:v>
                </c:pt>
                <c:pt idx="94">
                  <c:v>45547</c:v>
                </c:pt>
                <c:pt idx="95">
                  <c:v>45612</c:v>
                </c:pt>
                <c:pt idx="96">
                  <c:v>45508</c:v>
                </c:pt>
                <c:pt idx="97">
                  <c:v>45518</c:v>
                </c:pt>
                <c:pt idx="98">
                  <c:v>45612</c:v>
                </c:pt>
                <c:pt idx="99">
                  <c:v>45677</c:v>
                </c:pt>
                <c:pt idx="100">
                  <c:v>45677</c:v>
                </c:pt>
                <c:pt idx="101">
                  <c:v>45742</c:v>
                </c:pt>
                <c:pt idx="102">
                  <c:v>45742</c:v>
                </c:pt>
                <c:pt idx="103">
                  <c:v>45807</c:v>
                </c:pt>
                <c:pt idx="104">
                  <c:v>45807</c:v>
                </c:pt>
                <c:pt idx="105">
                  <c:v>45872</c:v>
                </c:pt>
                <c:pt idx="106">
                  <c:v>45768</c:v>
                </c:pt>
                <c:pt idx="107">
                  <c:v>45778</c:v>
                </c:pt>
                <c:pt idx="108">
                  <c:v>45872</c:v>
                </c:pt>
                <c:pt idx="109">
                  <c:v>45912</c:v>
                </c:pt>
                <c:pt idx="110">
                  <c:v>45912</c:v>
                </c:pt>
                <c:pt idx="111">
                  <c:v>45952</c:v>
                </c:pt>
                <c:pt idx="112">
                  <c:v>45952</c:v>
                </c:pt>
                <c:pt idx="113">
                  <c:v>45992</c:v>
                </c:pt>
                <c:pt idx="114">
                  <c:v>0</c:v>
                </c:pt>
                <c:pt idx="115">
                  <c:v>45383</c:v>
                </c:pt>
                <c:pt idx="116">
                  <c:v>45383</c:v>
                </c:pt>
                <c:pt idx="117">
                  <c:v>0</c:v>
                </c:pt>
                <c:pt idx="118">
                  <c:v>44849</c:v>
                </c:pt>
                <c:pt idx="119">
                  <c:v>44849</c:v>
                </c:pt>
                <c:pt idx="120">
                  <c:v>44958</c:v>
                </c:pt>
                <c:pt idx="121">
                  <c:v>44958</c:v>
                </c:pt>
                <c:pt idx="122">
                  <c:v>45078</c:v>
                </c:pt>
                <c:pt idx="123">
                  <c:v>45228</c:v>
                </c:pt>
                <c:pt idx="124">
                  <c:v>45468</c:v>
                </c:pt>
                <c:pt idx="125">
                  <c:v>45438</c:v>
                </c:pt>
                <c:pt idx="126">
                  <c:v>45438</c:v>
                </c:pt>
                <c:pt idx="127">
                  <c:v>45931</c:v>
                </c:pt>
                <c:pt idx="128">
                  <c:v>45231</c:v>
                </c:pt>
                <c:pt idx="129">
                  <c:v>45441</c:v>
                </c:pt>
                <c:pt idx="130">
                  <c:v>45839</c:v>
                </c:pt>
                <c:pt idx="131">
                  <c:v>45962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8D-4DAC-A273-7C461DED7914}"/>
            </c:ext>
          </c:extLst>
        </c:ser>
        <c:ser>
          <c:idx val="15"/>
          <c:order val="1"/>
          <c:tx>
            <c:strRef>
              <c:f>Modeler!$E$4</c:f>
              <c:strCache>
                <c:ptCount val="1"/>
                <c:pt idx="0">
                  <c:v>End First Activity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solidFill>
                <a:schemeClr val="bg2">
                  <a:lumMod val="50000"/>
                </a:schemeClr>
              </a:solidFill>
            </a:ln>
          </c:spPr>
          <c:invertIfNegative val="0"/>
          <c:dPt>
            <c:idx val="0"/>
            <c:invertIfNegative val="0"/>
            <c:bubble3D val="0"/>
            <c:spPr>
              <a:pattFill prst="ltUpDiag">
                <a:fgClr>
                  <a:schemeClr val="tx2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37-038D-4DAC-A273-7C461DED7914}"/>
              </c:ext>
            </c:extLst>
          </c:dPt>
          <c:dPt>
            <c:idx val="11"/>
            <c:invertIfNegative val="0"/>
            <c:bubble3D val="0"/>
            <c:spPr>
              <a:pattFill prst="ltUpDiag">
                <a:fgClr>
                  <a:schemeClr val="tx2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ln>
                <a:solidFill>
                  <a:schemeClr val="accent1"/>
                </a:solidFill>
              </a:ln>
            </c:spPr>
            <c:extLst>
              <c:ext xmlns:c16="http://schemas.microsoft.com/office/drawing/2014/chart" uri="{C3380CC4-5D6E-409C-BE32-E72D297353CC}">
                <c16:uniqueId val="{00000038-038D-4DAC-A273-7C461DED7914}"/>
              </c:ext>
            </c:extLst>
          </c:dPt>
          <c:dPt>
            <c:idx val="21"/>
            <c:invertIfNegative val="0"/>
            <c:bubble3D val="0"/>
            <c:spPr>
              <a:pattFill prst="ltUpDiag">
                <a:fgClr>
                  <a:schemeClr val="tx2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39-038D-4DAC-A273-7C461DED7914}"/>
              </c:ext>
            </c:extLst>
          </c:dPt>
          <c:dPt>
            <c:idx val="27"/>
            <c:invertIfNegative val="0"/>
            <c:bubble3D val="0"/>
            <c:spPr>
              <a:pattFill prst="ltUpDiag">
                <a:fgClr>
                  <a:schemeClr val="tx2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3A-038D-4DAC-A273-7C461DED7914}"/>
              </c:ext>
            </c:extLst>
          </c:dPt>
          <c:dPt>
            <c:idx val="42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solidFill>
                  <a:schemeClr val="bg2">
                    <a:lumMod val="50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3B-038D-4DAC-A273-7C461DED7914}"/>
              </c:ext>
            </c:extLst>
          </c:dPt>
          <c:dPt>
            <c:idx val="45"/>
            <c:invertIfNegative val="0"/>
            <c:bubble3D val="0"/>
            <c:spPr>
              <a:pattFill prst="ltUpDiag">
                <a:fgClr>
                  <a:schemeClr val="tx2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40-038D-4DAC-A273-7C461DED7914}"/>
              </c:ext>
            </c:extLst>
          </c:dPt>
          <c:dPt>
            <c:idx val="56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solidFill>
                  <a:schemeClr val="bg2">
                    <a:lumMod val="50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3C-038D-4DAC-A273-7C461DED7914}"/>
              </c:ext>
            </c:extLst>
          </c:dPt>
          <c:dPt>
            <c:idx val="60"/>
            <c:invertIfNegative val="0"/>
            <c:bubble3D val="0"/>
            <c:spPr>
              <a:pattFill prst="ltUpDiag">
                <a:fgClr>
                  <a:schemeClr val="tx2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41-038D-4DAC-A273-7C461DED7914}"/>
              </c:ext>
            </c:extLst>
          </c:dPt>
          <c:dPt>
            <c:idx val="68"/>
            <c:invertIfNegative val="0"/>
            <c:bubble3D val="0"/>
            <c:spPr>
              <a:pattFill prst="ltUpDiag">
                <a:fgClr>
                  <a:schemeClr val="tx2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42-038D-4DAC-A273-7C461DED7914}"/>
              </c:ext>
            </c:extLst>
          </c:dPt>
          <c:dPt>
            <c:idx val="80"/>
            <c:invertIfNegative val="0"/>
            <c:bubble3D val="0"/>
            <c:spPr>
              <a:pattFill prst="ltUpDiag">
                <a:fgClr>
                  <a:schemeClr val="tx2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43-038D-4DAC-A273-7C461DED7914}"/>
              </c:ext>
            </c:extLst>
          </c:dPt>
          <c:dPt>
            <c:idx val="115"/>
            <c:invertIfNegative val="0"/>
            <c:bubble3D val="0"/>
            <c:spPr>
              <a:pattFill prst="ltUpDiag">
                <a:fgClr>
                  <a:schemeClr val="tx2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44-038D-4DAC-A273-7C461DED7914}"/>
              </c:ext>
            </c:extLst>
          </c:dPt>
          <c:dPt>
            <c:idx val="118"/>
            <c:invertIfNegative val="0"/>
            <c:bubble3D val="0"/>
            <c:spPr>
              <a:pattFill prst="ltUpDiag">
                <a:fgClr>
                  <a:schemeClr val="tx2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45-038D-4DAC-A273-7C461DED7914}"/>
              </c:ext>
            </c:extLst>
          </c:dPt>
          <c:cat>
            <c:strRef>
              <c:f>Modeler!$C$7:$C$150</c:f>
              <c:strCache>
                <c:ptCount val="144"/>
                <c:pt idx="0">
                  <c:v>DATA GATHERING</c:v>
                </c:pt>
                <c:pt idx="1">
                  <c:v>Seismic Acquisition / Interpretation</c:v>
                </c:pt>
                <c:pt idx="2">
                  <c:v>Geologic Model</c:v>
                </c:pt>
                <c:pt idx="3">
                  <c:v>Reservoir Model</c:v>
                </c:pt>
                <c:pt idx="4">
                  <c:v>- Well Spacing/Temp/Rate Model - 20MW</c:v>
                </c:pt>
                <c:pt idx="5">
                  <c:v>- 20MW Full Simulation</c:v>
                </c:pt>
                <c:pt idx="6">
                  <c:v>- 20MW Development Plan</c:v>
                </c:pt>
                <c:pt idx="7">
                  <c:v>Reservoir Test Analysis - Pure #1</c:v>
                </c:pt>
                <c:pt idx="8">
                  <c:v>Core Analysis - Water Oak #1-1PV</c:v>
                </c:pt>
                <c:pt idx="9">
                  <c:v>Reservoir Test Analysis - Water Oak #1 - 1PV</c:v>
                </c:pt>
                <c:pt idx="10">
                  <c:v>0</c:v>
                </c:pt>
                <c:pt idx="11">
                  <c:v>PURE #1 ACTIVITIES</c:v>
                </c:pt>
                <c:pt idx="12">
                  <c:v>Acquisition</c:v>
                </c:pt>
                <c:pt idx="13">
                  <c:v>SUA &amp; Damages</c:v>
                </c:pt>
                <c:pt idx="14">
                  <c:v>Surface Site Prep, Facilities Repair &amp; Gas Mktg</c:v>
                </c:pt>
                <c:pt idx="15">
                  <c:v>Workover/Re-Entry</c:v>
                </c:pt>
                <c:pt idx="16">
                  <c:v>Flow Test</c:v>
                </c:pt>
                <c:pt idx="17">
                  <c:v>Conversion Workover - Ops Planning</c:v>
                </c:pt>
                <c:pt idx="18">
                  <c:v>Permitting for Conversion</c:v>
                </c:pt>
                <c:pt idx="19">
                  <c:v>Conversion Workover</c:v>
                </c:pt>
                <c:pt idx="20">
                  <c:v>0</c:v>
                </c:pt>
                <c:pt idx="21">
                  <c:v>PURE #1D ACTIVITIES</c:v>
                </c:pt>
                <c:pt idx="22">
                  <c:v>Acquisition</c:v>
                </c:pt>
                <c:pt idx="23">
                  <c:v>Surface Site Prep, Facilities Repair &amp; Injection Testing</c:v>
                </c:pt>
                <c:pt idx="24">
                  <c:v>Disposal Operations</c:v>
                </c:pt>
                <c:pt idx="25">
                  <c:v>Surface Equipment Removal</c:v>
                </c:pt>
                <c:pt idx="26">
                  <c:v>0</c:v>
                </c:pt>
                <c:pt idx="27">
                  <c:v>WATER OAK 1 P011CR</c:v>
                </c:pt>
                <c:pt idx="28">
                  <c:v>OCTG Order</c:v>
                </c:pt>
                <c:pt idx="29">
                  <c:v>Wellhead Order</c:v>
                </c:pt>
                <c:pt idx="30">
                  <c:v>Land Work, SUA &amp; Damages</c:v>
                </c:pt>
                <c:pt idx="31">
                  <c:v>Environmental &amp; Permitting</c:v>
                </c:pt>
                <c:pt idx="32">
                  <c:v>Pad Construction &amp; Conductor</c:v>
                </c:pt>
                <c:pt idx="33">
                  <c:v>Final Drill Plan and DWOP</c:v>
                </c:pt>
                <c:pt idx="34">
                  <c:v>Drill to core point</c:v>
                </c:pt>
                <c:pt idx="35">
                  <c:v>Core, Log &amp; Run Pipe</c:v>
                </c:pt>
                <c:pt idx="36">
                  <c:v>Wait on data processing for log &amp; core</c:v>
                </c:pt>
                <c:pt idx="37">
                  <c:v>Completion Planning &amp; CWOP</c:v>
                </c:pt>
                <c:pt idx="38">
                  <c:v>Completion Operations</c:v>
                </c:pt>
                <c:pt idx="39">
                  <c:v>Perforate and DFIT's (5 intervals)</c:v>
                </c:pt>
                <c:pt idx="40">
                  <c:v>Set Packer &amp; Tube Up</c:v>
                </c:pt>
                <c:pt idx="41">
                  <c:v>Flow Test</c:v>
                </c:pt>
                <c:pt idx="42">
                  <c:v>PDD &amp; PBU</c:v>
                </c:pt>
                <c:pt idx="43">
                  <c:v>Turn in Line</c:v>
                </c:pt>
                <c:pt idx="44">
                  <c:v>0</c:v>
                </c:pt>
                <c:pt idx="45">
                  <c:v>WATER OAK 1 D021</c:v>
                </c:pt>
                <c:pt idx="46">
                  <c:v>OCTG Order</c:v>
                </c:pt>
                <c:pt idx="47">
                  <c:v>Wellhead Order</c:v>
                </c:pt>
                <c:pt idx="48">
                  <c:v>Land Work, SUA &amp; Damages</c:v>
                </c:pt>
                <c:pt idx="49">
                  <c:v>Permitting &amp; Follow-up notifications</c:v>
                </c:pt>
                <c:pt idx="50">
                  <c:v>Pad Construction &amp; Conductor</c:v>
                </c:pt>
                <c:pt idx="51">
                  <c:v>Final Drill Plan and DWOP</c:v>
                </c:pt>
                <c:pt idx="52">
                  <c:v>Drill to TD</c:v>
                </c:pt>
                <c:pt idx="53">
                  <c:v>Log &amp; Run pipe</c:v>
                </c:pt>
                <c:pt idx="54">
                  <c:v>Completion Planning &amp; CWOP</c:v>
                </c:pt>
                <c:pt idx="55">
                  <c:v>Completion Operations</c:v>
                </c:pt>
                <c:pt idx="56">
                  <c:v>Perforate and DFIT's (5 intervals)</c:v>
                </c:pt>
                <c:pt idx="57">
                  <c:v>Set Packer &amp; Tube Up</c:v>
                </c:pt>
                <c:pt idx="58">
                  <c:v>Put well in service</c:v>
                </c:pt>
                <c:pt idx="59">
                  <c:v>0</c:v>
                </c:pt>
                <c:pt idx="60">
                  <c:v>FACILITIES CONSTRUCTION</c:v>
                </c:pt>
                <c:pt idx="61">
                  <c:v>Design Facilities</c:v>
                </c:pt>
                <c:pt idx="62">
                  <c:v>Order Equipment</c:v>
                </c:pt>
                <c:pt idx="63">
                  <c:v>Equip new wells</c:v>
                </c:pt>
                <c:pt idx="64">
                  <c:v>W/G Production and Injection Line Installation</c:v>
                </c:pt>
                <c:pt idx="65">
                  <c:v>Gas Marketing Agreements</c:v>
                </c:pt>
                <c:pt idx="66">
                  <c:v>0</c:v>
                </c:pt>
                <c:pt idx="67">
                  <c:v>0</c:v>
                </c:pt>
                <c:pt idx="68">
                  <c:v>CYMRIC 1MW ORC</c:v>
                </c:pt>
                <c:pt idx="69">
                  <c:v>Acquisition</c:v>
                </c:pt>
                <c:pt idx="70">
                  <c:v>Site Selection/Survey/Permitting</c:v>
                </c:pt>
                <c:pt idx="71">
                  <c:v>Construct Pad and Civil Works</c:v>
                </c:pt>
                <c:pt idx="72">
                  <c:v>Installation, Repairs &amp; Refurbishment</c:v>
                </c:pt>
                <c:pt idx="73">
                  <c:v>Testing &amp; Commissioning</c:v>
                </c:pt>
                <c:pt idx="74">
                  <c:v>Transmission Design &amp; Integration Plan</c:v>
                </c:pt>
                <c:pt idx="75">
                  <c:v>SUA &amp; Damages</c:v>
                </c:pt>
                <c:pt idx="76">
                  <c:v>Transmission Line Construction</c:v>
                </c:pt>
                <c:pt idx="77">
                  <c:v>Connection/Integration</c:v>
                </c:pt>
                <c:pt idx="78">
                  <c:v>Power Delivery &amp; Sales</c:v>
                </c:pt>
                <c:pt idx="79">
                  <c:v>0</c:v>
                </c:pt>
                <c:pt idx="80">
                  <c:v>PHASE II DEVELOPMENT</c:v>
                </c:pt>
                <c:pt idx="81">
                  <c:v>OCTG Order</c:v>
                </c:pt>
                <c:pt idx="82">
                  <c:v>Wellhead Order</c:v>
                </c:pt>
                <c:pt idx="83">
                  <c:v>Land/Lease</c:v>
                </c:pt>
                <c:pt idx="84">
                  <c:v>SUA &amp; Damages</c:v>
                </c:pt>
                <c:pt idx="85">
                  <c:v>Permitting</c:v>
                </c:pt>
                <c:pt idx="86">
                  <c:v>Pad Construction</c:v>
                </c:pt>
                <c:pt idx="87">
                  <c:v>Conductor - WO1 P022, P032, N042, N052</c:v>
                </c:pt>
                <c:pt idx="88">
                  <c:v>D&amp;C WO1 P022</c:v>
                </c:pt>
                <c:pt idx="89">
                  <c:v>Equip P022</c:v>
                </c:pt>
                <c:pt idx="90">
                  <c:v>D&amp;C WO1 P032</c:v>
                </c:pt>
                <c:pt idx="91">
                  <c:v>Equip P032</c:v>
                </c:pt>
                <c:pt idx="92">
                  <c:v>D&amp;C WO1 N042</c:v>
                </c:pt>
                <c:pt idx="93">
                  <c:v>Equip N042</c:v>
                </c:pt>
                <c:pt idx="94">
                  <c:v>D&amp;C WO1 N052</c:v>
                </c:pt>
                <c:pt idx="95">
                  <c:v>Equip N052</c:v>
                </c:pt>
                <c:pt idx="96">
                  <c:v>Pad Construction</c:v>
                </c:pt>
                <c:pt idx="97">
                  <c:v>Conductor - WO1 P062, P072, N082, N092</c:v>
                </c:pt>
                <c:pt idx="98">
                  <c:v>D&amp;C WO1 P062</c:v>
                </c:pt>
                <c:pt idx="99">
                  <c:v>Equip P062</c:v>
                </c:pt>
                <c:pt idx="100">
                  <c:v>D&amp;C WO1 P072</c:v>
                </c:pt>
                <c:pt idx="101">
                  <c:v>Equip P072</c:v>
                </c:pt>
                <c:pt idx="102">
                  <c:v>D&amp;C WO1 N082</c:v>
                </c:pt>
                <c:pt idx="103">
                  <c:v>Equip N082</c:v>
                </c:pt>
                <c:pt idx="104">
                  <c:v>D&amp;C WO1 N092</c:v>
                </c:pt>
                <c:pt idx="105">
                  <c:v>Equip N092</c:v>
                </c:pt>
                <c:pt idx="106">
                  <c:v>Pad Construction</c:v>
                </c:pt>
                <c:pt idx="107">
                  <c:v>Conductor - WO1 N101, P111, N121</c:v>
                </c:pt>
                <c:pt idx="108">
                  <c:v>D&amp;C WO1 N101</c:v>
                </c:pt>
                <c:pt idx="109">
                  <c:v>Equip N101</c:v>
                </c:pt>
                <c:pt idx="110">
                  <c:v>D&amp;C WO1 P111</c:v>
                </c:pt>
                <c:pt idx="111">
                  <c:v>Equip P111</c:v>
                </c:pt>
                <c:pt idx="112">
                  <c:v>D&amp;C WO1 N121</c:v>
                </c:pt>
                <c:pt idx="113">
                  <c:v>Equip N121</c:v>
                </c:pt>
                <c:pt idx="114">
                  <c:v>0</c:v>
                </c:pt>
                <c:pt idx="115">
                  <c:v>MIDSTREAM CONSTRUCTION</c:v>
                </c:pt>
                <c:pt idx="116">
                  <c:v>W&amp;G Trunk Lines (3)</c:v>
                </c:pt>
                <c:pt idx="117">
                  <c:v>0</c:v>
                </c:pt>
                <c:pt idx="118">
                  <c:v>WATER OAK PLANT 1 (20MW)</c:v>
                </c:pt>
                <c:pt idx="119">
                  <c:v>RFP</c:v>
                </c:pt>
                <c:pt idx="120">
                  <c:v>Permitting</c:v>
                </c:pt>
                <c:pt idx="121">
                  <c:v>Preliminary Design</c:v>
                </c:pt>
                <c:pt idx="122">
                  <c:v>FEED</c:v>
                </c:pt>
                <c:pt idx="123">
                  <c:v>Fabrication</c:v>
                </c:pt>
                <c:pt idx="124">
                  <c:v>Mobilization</c:v>
                </c:pt>
                <c:pt idx="125">
                  <c:v>Construction</c:v>
                </c:pt>
                <c:pt idx="126">
                  <c:v>Installation</c:v>
                </c:pt>
                <c:pt idx="127">
                  <c:v>Commisioning</c:v>
                </c:pt>
                <c:pt idx="128">
                  <c:v>Transmission Design &amp; Integration Plan</c:v>
                </c:pt>
                <c:pt idx="129">
                  <c:v>Transmission Line Construction</c:v>
                </c:pt>
                <c:pt idx="130">
                  <c:v>Connection/Integration</c:v>
                </c:pt>
                <c:pt idx="131">
                  <c:v>Power Delivery &amp; Sales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strCache>
            </c:strRef>
          </c:cat>
          <c:val>
            <c:numRef>
              <c:f>Modeler!$E$7:$E$150</c:f>
              <c:numCache>
                <c:formatCode>General</c:formatCode>
                <c:ptCount val="144"/>
                <c:pt idx="0">
                  <c:v>488</c:v>
                </c:pt>
                <c:pt idx="1">
                  <c:v>61</c:v>
                </c:pt>
                <c:pt idx="2">
                  <c:v>31</c:v>
                </c:pt>
                <c:pt idx="3">
                  <c:v>90</c:v>
                </c:pt>
                <c:pt idx="4">
                  <c:v>31</c:v>
                </c:pt>
                <c:pt idx="5">
                  <c:v>59</c:v>
                </c:pt>
                <c:pt idx="6">
                  <c:v>365</c:v>
                </c:pt>
                <c:pt idx="7">
                  <c:v>28</c:v>
                </c:pt>
                <c:pt idx="8">
                  <c:v>61</c:v>
                </c:pt>
                <c:pt idx="9">
                  <c:v>61</c:v>
                </c:pt>
                <c:pt idx="10">
                  <c:v>0</c:v>
                </c:pt>
                <c:pt idx="11">
                  <c:v>396</c:v>
                </c:pt>
                <c:pt idx="12">
                  <c:v>31</c:v>
                </c:pt>
                <c:pt idx="13">
                  <c:v>61</c:v>
                </c:pt>
                <c:pt idx="14">
                  <c:v>62</c:v>
                </c:pt>
                <c:pt idx="15">
                  <c:v>31</c:v>
                </c:pt>
                <c:pt idx="16">
                  <c:v>91</c:v>
                </c:pt>
                <c:pt idx="17">
                  <c:v>61</c:v>
                </c:pt>
                <c:pt idx="18">
                  <c:v>30</c:v>
                </c:pt>
                <c:pt idx="19">
                  <c:v>17</c:v>
                </c:pt>
                <c:pt idx="20">
                  <c:v>0</c:v>
                </c:pt>
                <c:pt idx="21">
                  <c:v>517</c:v>
                </c:pt>
                <c:pt idx="22">
                  <c:v>31</c:v>
                </c:pt>
                <c:pt idx="23">
                  <c:v>30</c:v>
                </c:pt>
                <c:pt idx="24">
                  <c:v>91</c:v>
                </c:pt>
                <c:pt idx="25">
                  <c:v>60</c:v>
                </c:pt>
                <c:pt idx="26">
                  <c:v>0</c:v>
                </c:pt>
                <c:pt idx="27">
                  <c:v>485</c:v>
                </c:pt>
                <c:pt idx="28">
                  <c:v>12</c:v>
                </c:pt>
                <c:pt idx="29">
                  <c:v>12</c:v>
                </c:pt>
                <c:pt idx="30">
                  <c:v>61</c:v>
                </c:pt>
                <c:pt idx="31">
                  <c:v>14</c:v>
                </c:pt>
                <c:pt idx="32">
                  <c:v>31</c:v>
                </c:pt>
                <c:pt idx="33">
                  <c:v>56</c:v>
                </c:pt>
                <c:pt idx="34">
                  <c:v>30</c:v>
                </c:pt>
                <c:pt idx="35">
                  <c:v>15</c:v>
                </c:pt>
                <c:pt idx="36">
                  <c:v>0</c:v>
                </c:pt>
                <c:pt idx="37">
                  <c:v>7</c:v>
                </c:pt>
                <c:pt idx="38">
                  <c:v>5</c:v>
                </c:pt>
                <c:pt idx="39">
                  <c:v>10</c:v>
                </c:pt>
                <c:pt idx="40">
                  <c:v>4</c:v>
                </c:pt>
                <c:pt idx="41">
                  <c:v>30</c:v>
                </c:pt>
                <c:pt idx="42">
                  <c:v>21</c:v>
                </c:pt>
                <c:pt idx="43">
                  <c:v>7</c:v>
                </c:pt>
                <c:pt idx="44">
                  <c:v>0</c:v>
                </c:pt>
                <c:pt idx="45">
                  <c:v>434</c:v>
                </c:pt>
                <c:pt idx="46">
                  <c:v>22</c:v>
                </c:pt>
                <c:pt idx="47">
                  <c:v>18</c:v>
                </c:pt>
                <c:pt idx="48">
                  <c:v>44</c:v>
                </c:pt>
                <c:pt idx="49">
                  <c:v>18</c:v>
                </c:pt>
                <c:pt idx="50">
                  <c:v>29</c:v>
                </c:pt>
                <c:pt idx="51">
                  <c:v>20</c:v>
                </c:pt>
                <c:pt idx="52">
                  <c:v>18</c:v>
                </c:pt>
                <c:pt idx="53">
                  <c:v>50</c:v>
                </c:pt>
                <c:pt idx="54">
                  <c:v>5</c:v>
                </c:pt>
                <c:pt idx="55">
                  <c:v>5</c:v>
                </c:pt>
                <c:pt idx="56">
                  <c:v>10</c:v>
                </c:pt>
                <c:pt idx="57">
                  <c:v>4</c:v>
                </c:pt>
                <c:pt idx="58">
                  <c:v>7</c:v>
                </c:pt>
                <c:pt idx="59">
                  <c:v>0</c:v>
                </c:pt>
                <c:pt idx="60">
                  <c:v>247</c:v>
                </c:pt>
                <c:pt idx="61">
                  <c:v>55</c:v>
                </c:pt>
                <c:pt idx="62">
                  <c:v>180</c:v>
                </c:pt>
                <c:pt idx="63">
                  <c:v>61</c:v>
                </c:pt>
                <c:pt idx="64">
                  <c:v>92</c:v>
                </c:pt>
                <c:pt idx="65">
                  <c:v>31</c:v>
                </c:pt>
                <c:pt idx="66">
                  <c:v>0</c:v>
                </c:pt>
                <c:pt idx="67">
                  <c:v>0</c:v>
                </c:pt>
                <c:pt idx="68">
                  <c:v>427</c:v>
                </c:pt>
                <c:pt idx="69">
                  <c:v>31</c:v>
                </c:pt>
                <c:pt idx="70">
                  <c:v>31</c:v>
                </c:pt>
                <c:pt idx="71">
                  <c:v>59</c:v>
                </c:pt>
                <c:pt idx="72">
                  <c:v>122</c:v>
                </c:pt>
                <c:pt idx="73">
                  <c:v>61</c:v>
                </c:pt>
                <c:pt idx="74">
                  <c:v>120</c:v>
                </c:pt>
                <c:pt idx="75">
                  <c:v>61</c:v>
                </c:pt>
                <c:pt idx="76">
                  <c:v>92</c:v>
                </c:pt>
                <c:pt idx="77">
                  <c:v>61</c:v>
                </c:pt>
                <c:pt idx="78">
                  <c:v>62</c:v>
                </c:pt>
                <c:pt idx="79">
                  <c:v>0</c:v>
                </c:pt>
                <c:pt idx="80">
                  <c:v>944</c:v>
                </c:pt>
                <c:pt idx="81">
                  <c:v>31</c:v>
                </c:pt>
                <c:pt idx="82">
                  <c:v>31</c:v>
                </c:pt>
                <c:pt idx="83">
                  <c:v>91</c:v>
                </c:pt>
                <c:pt idx="84">
                  <c:v>120</c:v>
                </c:pt>
                <c:pt idx="85">
                  <c:v>21</c:v>
                </c:pt>
                <c:pt idx="86">
                  <c:v>90</c:v>
                </c:pt>
                <c:pt idx="87">
                  <c:v>90</c:v>
                </c:pt>
                <c:pt idx="88">
                  <c:v>60</c:v>
                </c:pt>
                <c:pt idx="89">
                  <c:v>30</c:v>
                </c:pt>
                <c:pt idx="90">
                  <c:v>60</c:v>
                </c:pt>
                <c:pt idx="91">
                  <c:v>30</c:v>
                </c:pt>
                <c:pt idx="92">
                  <c:v>60</c:v>
                </c:pt>
                <c:pt idx="93">
                  <c:v>30</c:v>
                </c:pt>
                <c:pt idx="94">
                  <c:v>60</c:v>
                </c:pt>
                <c:pt idx="95">
                  <c:v>30</c:v>
                </c:pt>
                <c:pt idx="96">
                  <c:v>90</c:v>
                </c:pt>
                <c:pt idx="97">
                  <c:v>90</c:v>
                </c:pt>
                <c:pt idx="98">
                  <c:v>60</c:v>
                </c:pt>
                <c:pt idx="99">
                  <c:v>30</c:v>
                </c:pt>
                <c:pt idx="100">
                  <c:v>60</c:v>
                </c:pt>
                <c:pt idx="101">
                  <c:v>30</c:v>
                </c:pt>
                <c:pt idx="102">
                  <c:v>60</c:v>
                </c:pt>
                <c:pt idx="103">
                  <c:v>30</c:v>
                </c:pt>
                <c:pt idx="104">
                  <c:v>60</c:v>
                </c:pt>
                <c:pt idx="105">
                  <c:v>30</c:v>
                </c:pt>
                <c:pt idx="106">
                  <c:v>90</c:v>
                </c:pt>
                <c:pt idx="107">
                  <c:v>90</c:v>
                </c:pt>
                <c:pt idx="108">
                  <c:v>35</c:v>
                </c:pt>
                <c:pt idx="109">
                  <c:v>30</c:v>
                </c:pt>
                <c:pt idx="110">
                  <c:v>35</c:v>
                </c:pt>
                <c:pt idx="111">
                  <c:v>30</c:v>
                </c:pt>
                <c:pt idx="112">
                  <c:v>35</c:v>
                </c:pt>
                <c:pt idx="113">
                  <c:v>30</c:v>
                </c:pt>
                <c:pt idx="114">
                  <c:v>0</c:v>
                </c:pt>
                <c:pt idx="115">
                  <c:v>548</c:v>
                </c:pt>
                <c:pt idx="116">
                  <c:v>548</c:v>
                </c:pt>
                <c:pt idx="117">
                  <c:v>0</c:v>
                </c:pt>
                <c:pt idx="118">
                  <c:v>1112</c:v>
                </c:pt>
                <c:pt idx="119">
                  <c:v>82</c:v>
                </c:pt>
                <c:pt idx="120">
                  <c:v>120</c:v>
                </c:pt>
                <c:pt idx="121">
                  <c:v>120</c:v>
                </c:pt>
                <c:pt idx="122">
                  <c:v>240</c:v>
                </c:pt>
                <c:pt idx="123">
                  <c:v>270</c:v>
                </c:pt>
                <c:pt idx="124">
                  <c:v>90</c:v>
                </c:pt>
                <c:pt idx="125">
                  <c:v>30</c:v>
                </c:pt>
                <c:pt idx="126">
                  <c:v>120</c:v>
                </c:pt>
                <c:pt idx="127">
                  <c:v>30</c:v>
                </c:pt>
                <c:pt idx="128">
                  <c:v>180</c:v>
                </c:pt>
                <c:pt idx="129">
                  <c:v>180</c:v>
                </c:pt>
                <c:pt idx="130">
                  <c:v>60</c:v>
                </c:pt>
                <c:pt idx="131">
                  <c:v>30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8D-4DAC-A273-7C461DED7914}"/>
            </c:ext>
          </c:extLst>
        </c:ser>
        <c:ser>
          <c:idx val="16"/>
          <c:order val="2"/>
          <c:tx>
            <c:strRef>
              <c:f>Modeler!$F$4</c:f>
              <c:strCache>
                <c:ptCount val="1"/>
                <c:pt idx="0">
                  <c:v>Days</c:v>
                </c:pt>
              </c:strCache>
            </c:strRef>
          </c:tx>
          <c:spPr>
            <a:pattFill prst="smConfetti">
              <a:fgClr>
                <a:schemeClr val="bg2">
                  <a:lumMod val="75000"/>
                </a:schemeClr>
              </a:fgClr>
              <a:bgClr>
                <a:schemeClr val="bg1"/>
              </a:bgClr>
            </a:pattFill>
            <a:ln>
              <a:solidFill>
                <a:schemeClr val="bg2">
                  <a:lumMod val="50000"/>
                </a:schemeClr>
              </a:solidFill>
            </a:ln>
          </c:spPr>
          <c:invertIfNegative val="0"/>
          <c:cat>
            <c:strRef>
              <c:f>Modeler!$C$7:$C$150</c:f>
              <c:strCache>
                <c:ptCount val="144"/>
                <c:pt idx="0">
                  <c:v>DATA GATHERING</c:v>
                </c:pt>
                <c:pt idx="1">
                  <c:v>Seismic Acquisition / Interpretation</c:v>
                </c:pt>
                <c:pt idx="2">
                  <c:v>Geologic Model</c:v>
                </c:pt>
                <c:pt idx="3">
                  <c:v>Reservoir Model</c:v>
                </c:pt>
                <c:pt idx="4">
                  <c:v>- Well Spacing/Temp/Rate Model - 20MW</c:v>
                </c:pt>
                <c:pt idx="5">
                  <c:v>- 20MW Full Simulation</c:v>
                </c:pt>
                <c:pt idx="6">
                  <c:v>- 20MW Development Plan</c:v>
                </c:pt>
                <c:pt idx="7">
                  <c:v>Reservoir Test Analysis - Pure #1</c:v>
                </c:pt>
                <c:pt idx="8">
                  <c:v>Core Analysis - Water Oak #1-1PV</c:v>
                </c:pt>
                <c:pt idx="9">
                  <c:v>Reservoir Test Analysis - Water Oak #1 - 1PV</c:v>
                </c:pt>
                <c:pt idx="10">
                  <c:v>0</c:v>
                </c:pt>
                <c:pt idx="11">
                  <c:v>PURE #1 ACTIVITIES</c:v>
                </c:pt>
                <c:pt idx="12">
                  <c:v>Acquisition</c:v>
                </c:pt>
                <c:pt idx="13">
                  <c:v>SUA &amp; Damages</c:v>
                </c:pt>
                <c:pt idx="14">
                  <c:v>Surface Site Prep, Facilities Repair &amp; Gas Mktg</c:v>
                </c:pt>
                <c:pt idx="15">
                  <c:v>Workover/Re-Entry</c:v>
                </c:pt>
                <c:pt idx="16">
                  <c:v>Flow Test</c:v>
                </c:pt>
                <c:pt idx="17">
                  <c:v>Conversion Workover - Ops Planning</c:v>
                </c:pt>
                <c:pt idx="18">
                  <c:v>Permitting for Conversion</c:v>
                </c:pt>
                <c:pt idx="19">
                  <c:v>Conversion Workover</c:v>
                </c:pt>
                <c:pt idx="20">
                  <c:v>0</c:v>
                </c:pt>
                <c:pt idx="21">
                  <c:v>PURE #1D ACTIVITIES</c:v>
                </c:pt>
                <c:pt idx="22">
                  <c:v>Acquisition</c:v>
                </c:pt>
                <c:pt idx="23">
                  <c:v>Surface Site Prep, Facilities Repair &amp; Injection Testing</c:v>
                </c:pt>
                <c:pt idx="24">
                  <c:v>Disposal Operations</c:v>
                </c:pt>
                <c:pt idx="25">
                  <c:v>Surface Equipment Removal</c:v>
                </c:pt>
                <c:pt idx="26">
                  <c:v>0</c:v>
                </c:pt>
                <c:pt idx="27">
                  <c:v>WATER OAK 1 P011CR</c:v>
                </c:pt>
                <c:pt idx="28">
                  <c:v>OCTG Order</c:v>
                </c:pt>
                <c:pt idx="29">
                  <c:v>Wellhead Order</c:v>
                </c:pt>
                <c:pt idx="30">
                  <c:v>Land Work, SUA &amp; Damages</c:v>
                </c:pt>
                <c:pt idx="31">
                  <c:v>Environmental &amp; Permitting</c:v>
                </c:pt>
                <c:pt idx="32">
                  <c:v>Pad Construction &amp; Conductor</c:v>
                </c:pt>
                <c:pt idx="33">
                  <c:v>Final Drill Plan and DWOP</c:v>
                </c:pt>
                <c:pt idx="34">
                  <c:v>Drill to core point</c:v>
                </c:pt>
                <c:pt idx="35">
                  <c:v>Core, Log &amp; Run Pipe</c:v>
                </c:pt>
                <c:pt idx="36">
                  <c:v>Wait on data processing for log &amp; core</c:v>
                </c:pt>
                <c:pt idx="37">
                  <c:v>Completion Planning &amp; CWOP</c:v>
                </c:pt>
                <c:pt idx="38">
                  <c:v>Completion Operations</c:v>
                </c:pt>
                <c:pt idx="39">
                  <c:v>Perforate and DFIT's (5 intervals)</c:v>
                </c:pt>
                <c:pt idx="40">
                  <c:v>Set Packer &amp; Tube Up</c:v>
                </c:pt>
                <c:pt idx="41">
                  <c:v>Flow Test</c:v>
                </c:pt>
                <c:pt idx="42">
                  <c:v>PDD &amp; PBU</c:v>
                </c:pt>
                <c:pt idx="43">
                  <c:v>Turn in Line</c:v>
                </c:pt>
                <c:pt idx="44">
                  <c:v>0</c:v>
                </c:pt>
                <c:pt idx="45">
                  <c:v>WATER OAK 1 D021</c:v>
                </c:pt>
                <c:pt idx="46">
                  <c:v>OCTG Order</c:v>
                </c:pt>
                <c:pt idx="47">
                  <c:v>Wellhead Order</c:v>
                </c:pt>
                <c:pt idx="48">
                  <c:v>Land Work, SUA &amp; Damages</c:v>
                </c:pt>
                <c:pt idx="49">
                  <c:v>Permitting &amp; Follow-up notifications</c:v>
                </c:pt>
                <c:pt idx="50">
                  <c:v>Pad Construction &amp; Conductor</c:v>
                </c:pt>
                <c:pt idx="51">
                  <c:v>Final Drill Plan and DWOP</c:v>
                </c:pt>
                <c:pt idx="52">
                  <c:v>Drill to TD</c:v>
                </c:pt>
                <c:pt idx="53">
                  <c:v>Log &amp; Run pipe</c:v>
                </c:pt>
                <c:pt idx="54">
                  <c:v>Completion Planning &amp; CWOP</c:v>
                </c:pt>
                <c:pt idx="55">
                  <c:v>Completion Operations</c:v>
                </c:pt>
                <c:pt idx="56">
                  <c:v>Perforate and DFIT's (5 intervals)</c:v>
                </c:pt>
                <c:pt idx="57">
                  <c:v>Set Packer &amp; Tube Up</c:v>
                </c:pt>
                <c:pt idx="58">
                  <c:v>Put well in service</c:v>
                </c:pt>
                <c:pt idx="59">
                  <c:v>0</c:v>
                </c:pt>
                <c:pt idx="60">
                  <c:v>FACILITIES CONSTRUCTION</c:v>
                </c:pt>
                <c:pt idx="61">
                  <c:v>Design Facilities</c:v>
                </c:pt>
                <c:pt idx="62">
                  <c:v>Order Equipment</c:v>
                </c:pt>
                <c:pt idx="63">
                  <c:v>Equip new wells</c:v>
                </c:pt>
                <c:pt idx="64">
                  <c:v>W/G Production and Injection Line Installation</c:v>
                </c:pt>
                <c:pt idx="65">
                  <c:v>Gas Marketing Agreements</c:v>
                </c:pt>
                <c:pt idx="66">
                  <c:v>0</c:v>
                </c:pt>
                <c:pt idx="67">
                  <c:v>0</c:v>
                </c:pt>
                <c:pt idx="68">
                  <c:v>CYMRIC 1MW ORC</c:v>
                </c:pt>
                <c:pt idx="69">
                  <c:v>Acquisition</c:v>
                </c:pt>
                <c:pt idx="70">
                  <c:v>Site Selection/Survey/Permitting</c:v>
                </c:pt>
                <c:pt idx="71">
                  <c:v>Construct Pad and Civil Works</c:v>
                </c:pt>
                <c:pt idx="72">
                  <c:v>Installation, Repairs &amp; Refurbishment</c:v>
                </c:pt>
                <c:pt idx="73">
                  <c:v>Testing &amp; Commissioning</c:v>
                </c:pt>
                <c:pt idx="74">
                  <c:v>Transmission Design &amp; Integration Plan</c:v>
                </c:pt>
                <c:pt idx="75">
                  <c:v>SUA &amp; Damages</c:v>
                </c:pt>
                <c:pt idx="76">
                  <c:v>Transmission Line Construction</c:v>
                </c:pt>
                <c:pt idx="77">
                  <c:v>Connection/Integration</c:v>
                </c:pt>
                <c:pt idx="78">
                  <c:v>Power Delivery &amp; Sales</c:v>
                </c:pt>
                <c:pt idx="79">
                  <c:v>0</c:v>
                </c:pt>
                <c:pt idx="80">
                  <c:v>PHASE II DEVELOPMENT</c:v>
                </c:pt>
                <c:pt idx="81">
                  <c:v>OCTG Order</c:v>
                </c:pt>
                <c:pt idx="82">
                  <c:v>Wellhead Order</c:v>
                </c:pt>
                <c:pt idx="83">
                  <c:v>Land/Lease</c:v>
                </c:pt>
                <c:pt idx="84">
                  <c:v>SUA &amp; Damages</c:v>
                </c:pt>
                <c:pt idx="85">
                  <c:v>Permitting</c:v>
                </c:pt>
                <c:pt idx="86">
                  <c:v>Pad Construction</c:v>
                </c:pt>
                <c:pt idx="87">
                  <c:v>Conductor - WO1 P022, P032, N042, N052</c:v>
                </c:pt>
                <c:pt idx="88">
                  <c:v>D&amp;C WO1 P022</c:v>
                </c:pt>
                <c:pt idx="89">
                  <c:v>Equip P022</c:v>
                </c:pt>
                <c:pt idx="90">
                  <c:v>D&amp;C WO1 P032</c:v>
                </c:pt>
                <c:pt idx="91">
                  <c:v>Equip P032</c:v>
                </c:pt>
                <c:pt idx="92">
                  <c:v>D&amp;C WO1 N042</c:v>
                </c:pt>
                <c:pt idx="93">
                  <c:v>Equip N042</c:v>
                </c:pt>
                <c:pt idx="94">
                  <c:v>D&amp;C WO1 N052</c:v>
                </c:pt>
                <c:pt idx="95">
                  <c:v>Equip N052</c:v>
                </c:pt>
                <c:pt idx="96">
                  <c:v>Pad Construction</c:v>
                </c:pt>
                <c:pt idx="97">
                  <c:v>Conductor - WO1 P062, P072, N082, N092</c:v>
                </c:pt>
                <c:pt idx="98">
                  <c:v>D&amp;C WO1 P062</c:v>
                </c:pt>
                <c:pt idx="99">
                  <c:v>Equip P062</c:v>
                </c:pt>
                <c:pt idx="100">
                  <c:v>D&amp;C WO1 P072</c:v>
                </c:pt>
                <c:pt idx="101">
                  <c:v>Equip P072</c:v>
                </c:pt>
                <c:pt idx="102">
                  <c:v>D&amp;C WO1 N082</c:v>
                </c:pt>
                <c:pt idx="103">
                  <c:v>Equip N082</c:v>
                </c:pt>
                <c:pt idx="104">
                  <c:v>D&amp;C WO1 N092</c:v>
                </c:pt>
                <c:pt idx="105">
                  <c:v>Equip N092</c:v>
                </c:pt>
                <c:pt idx="106">
                  <c:v>Pad Construction</c:v>
                </c:pt>
                <c:pt idx="107">
                  <c:v>Conductor - WO1 N101, P111, N121</c:v>
                </c:pt>
                <c:pt idx="108">
                  <c:v>D&amp;C WO1 N101</c:v>
                </c:pt>
                <c:pt idx="109">
                  <c:v>Equip N101</c:v>
                </c:pt>
                <c:pt idx="110">
                  <c:v>D&amp;C WO1 P111</c:v>
                </c:pt>
                <c:pt idx="111">
                  <c:v>Equip P111</c:v>
                </c:pt>
                <c:pt idx="112">
                  <c:v>D&amp;C WO1 N121</c:v>
                </c:pt>
                <c:pt idx="113">
                  <c:v>Equip N121</c:v>
                </c:pt>
                <c:pt idx="114">
                  <c:v>0</c:v>
                </c:pt>
                <c:pt idx="115">
                  <c:v>MIDSTREAM CONSTRUCTION</c:v>
                </c:pt>
                <c:pt idx="116">
                  <c:v>W&amp;G Trunk Lines (3)</c:v>
                </c:pt>
                <c:pt idx="117">
                  <c:v>0</c:v>
                </c:pt>
                <c:pt idx="118">
                  <c:v>WATER OAK PLANT 1 (20MW)</c:v>
                </c:pt>
                <c:pt idx="119">
                  <c:v>RFP</c:v>
                </c:pt>
                <c:pt idx="120">
                  <c:v>Permitting</c:v>
                </c:pt>
                <c:pt idx="121">
                  <c:v>Preliminary Design</c:v>
                </c:pt>
                <c:pt idx="122">
                  <c:v>FEED</c:v>
                </c:pt>
                <c:pt idx="123">
                  <c:v>Fabrication</c:v>
                </c:pt>
                <c:pt idx="124">
                  <c:v>Mobilization</c:v>
                </c:pt>
                <c:pt idx="125">
                  <c:v>Construction</c:v>
                </c:pt>
                <c:pt idx="126">
                  <c:v>Installation</c:v>
                </c:pt>
                <c:pt idx="127">
                  <c:v>Commisioning</c:v>
                </c:pt>
                <c:pt idx="128">
                  <c:v>Transmission Design &amp; Integration Plan</c:v>
                </c:pt>
                <c:pt idx="129">
                  <c:v>Transmission Line Construction</c:v>
                </c:pt>
                <c:pt idx="130">
                  <c:v>Connection/Integration</c:v>
                </c:pt>
                <c:pt idx="131">
                  <c:v>Power Delivery &amp; Sales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strCache>
            </c:strRef>
          </c:cat>
          <c:val>
            <c:numRef>
              <c:f>Modeler!$F$7:$F$150</c:f>
              <c:numCache>
                <c:formatCode>General</c:formatCode>
                <c:ptCount val="144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14</c:v>
                </c:pt>
                <c:pt idx="31">
                  <c:v>14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45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180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180</c:v>
                </c:pt>
                <c:pt idx="86">
                  <c:v>0</c:v>
                </c:pt>
                <c:pt idx="87">
                  <c:v>0</c:v>
                </c:pt>
                <c:pt idx="88">
                  <c:v>7</c:v>
                </c:pt>
                <c:pt idx="89">
                  <c:v>0</c:v>
                </c:pt>
                <c:pt idx="90">
                  <c:v>7</c:v>
                </c:pt>
                <c:pt idx="91">
                  <c:v>0</c:v>
                </c:pt>
                <c:pt idx="92">
                  <c:v>7</c:v>
                </c:pt>
                <c:pt idx="93">
                  <c:v>0</c:v>
                </c:pt>
                <c:pt idx="94">
                  <c:v>7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7</c:v>
                </c:pt>
                <c:pt idx="99">
                  <c:v>0</c:v>
                </c:pt>
                <c:pt idx="100">
                  <c:v>7</c:v>
                </c:pt>
                <c:pt idx="101">
                  <c:v>0</c:v>
                </c:pt>
                <c:pt idx="102">
                  <c:v>7</c:v>
                </c:pt>
                <c:pt idx="103">
                  <c:v>0</c:v>
                </c:pt>
                <c:pt idx="104">
                  <c:v>7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5</c:v>
                </c:pt>
                <c:pt idx="109">
                  <c:v>0</c:v>
                </c:pt>
                <c:pt idx="110">
                  <c:v>5</c:v>
                </c:pt>
                <c:pt idx="111">
                  <c:v>0</c:v>
                </c:pt>
                <c:pt idx="112">
                  <c:v>5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60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8D-4DAC-A273-7C461DED7914}"/>
            </c:ext>
          </c:extLst>
        </c:ser>
        <c:ser>
          <c:idx val="17"/>
          <c:order val="3"/>
          <c:tx>
            <c:strRef>
              <c:f>Modeler!$H$4</c:f>
              <c:strCache>
                <c:ptCount val="1"/>
                <c:pt idx="0">
                  <c:v>2nd Activity Start Date</c:v>
                </c:pt>
              </c:strCache>
            </c:strRef>
          </c:tx>
          <c:spPr>
            <a:solidFill>
              <a:schemeClr val="accent3"/>
            </a:solidFill>
            <a:ln w="12700">
              <a:solidFill>
                <a:schemeClr val="accent3">
                  <a:lumMod val="75000"/>
                </a:schemeClr>
              </a:solidFill>
            </a:ln>
          </c:spPr>
          <c:invertIfNegative val="0"/>
          <c:cat>
            <c:strRef>
              <c:f>Modeler!$C$7:$C$150</c:f>
              <c:strCache>
                <c:ptCount val="144"/>
                <c:pt idx="0">
                  <c:v>DATA GATHERING</c:v>
                </c:pt>
                <c:pt idx="1">
                  <c:v>Seismic Acquisition / Interpretation</c:v>
                </c:pt>
                <c:pt idx="2">
                  <c:v>Geologic Model</c:v>
                </c:pt>
                <c:pt idx="3">
                  <c:v>Reservoir Model</c:v>
                </c:pt>
                <c:pt idx="4">
                  <c:v>- Well Spacing/Temp/Rate Model - 20MW</c:v>
                </c:pt>
                <c:pt idx="5">
                  <c:v>- 20MW Full Simulation</c:v>
                </c:pt>
                <c:pt idx="6">
                  <c:v>- 20MW Development Plan</c:v>
                </c:pt>
                <c:pt idx="7">
                  <c:v>Reservoir Test Analysis - Pure #1</c:v>
                </c:pt>
                <c:pt idx="8">
                  <c:v>Core Analysis - Water Oak #1-1PV</c:v>
                </c:pt>
                <c:pt idx="9">
                  <c:v>Reservoir Test Analysis - Water Oak #1 - 1PV</c:v>
                </c:pt>
                <c:pt idx="10">
                  <c:v>0</c:v>
                </c:pt>
                <c:pt idx="11">
                  <c:v>PURE #1 ACTIVITIES</c:v>
                </c:pt>
                <c:pt idx="12">
                  <c:v>Acquisition</c:v>
                </c:pt>
                <c:pt idx="13">
                  <c:v>SUA &amp; Damages</c:v>
                </c:pt>
                <c:pt idx="14">
                  <c:v>Surface Site Prep, Facilities Repair &amp; Gas Mktg</c:v>
                </c:pt>
                <c:pt idx="15">
                  <c:v>Workover/Re-Entry</c:v>
                </c:pt>
                <c:pt idx="16">
                  <c:v>Flow Test</c:v>
                </c:pt>
                <c:pt idx="17">
                  <c:v>Conversion Workover - Ops Planning</c:v>
                </c:pt>
                <c:pt idx="18">
                  <c:v>Permitting for Conversion</c:v>
                </c:pt>
                <c:pt idx="19">
                  <c:v>Conversion Workover</c:v>
                </c:pt>
                <c:pt idx="20">
                  <c:v>0</c:v>
                </c:pt>
                <c:pt idx="21">
                  <c:v>PURE #1D ACTIVITIES</c:v>
                </c:pt>
                <c:pt idx="22">
                  <c:v>Acquisition</c:v>
                </c:pt>
                <c:pt idx="23">
                  <c:v>Surface Site Prep, Facilities Repair &amp; Injection Testing</c:v>
                </c:pt>
                <c:pt idx="24">
                  <c:v>Disposal Operations</c:v>
                </c:pt>
                <c:pt idx="25">
                  <c:v>Surface Equipment Removal</c:v>
                </c:pt>
                <c:pt idx="26">
                  <c:v>0</c:v>
                </c:pt>
                <c:pt idx="27">
                  <c:v>WATER OAK 1 P011CR</c:v>
                </c:pt>
                <c:pt idx="28">
                  <c:v>OCTG Order</c:v>
                </c:pt>
                <c:pt idx="29">
                  <c:v>Wellhead Order</c:v>
                </c:pt>
                <c:pt idx="30">
                  <c:v>Land Work, SUA &amp; Damages</c:v>
                </c:pt>
                <c:pt idx="31">
                  <c:v>Environmental &amp; Permitting</c:v>
                </c:pt>
                <c:pt idx="32">
                  <c:v>Pad Construction &amp; Conductor</c:v>
                </c:pt>
                <c:pt idx="33">
                  <c:v>Final Drill Plan and DWOP</c:v>
                </c:pt>
                <c:pt idx="34">
                  <c:v>Drill to core point</c:v>
                </c:pt>
                <c:pt idx="35">
                  <c:v>Core, Log &amp; Run Pipe</c:v>
                </c:pt>
                <c:pt idx="36">
                  <c:v>Wait on data processing for log &amp; core</c:v>
                </c:pt>
                <c:pt idx="37">
                  <c:v>Completion Planning &amp; CWOP</c:v>
                </c:pt>
                <c:pt idx="38">
                  <c:v>Completion Operations</c:v>
                </c:pt>
                <c:pt idx="39">
                  <c:v>Perforate and DFIT's (5 intervals)</c:v>
                </c:pt>
                <c:pt idx="40">
                  <c:v>Set Packer &amp; Tube Up</c:v>
                </c:pt>
                <c:pt idx="41">
                  <c:v>Flow Test</c:v>
                </c:pt>
                <c:pt idx="42">
                  <c:v>PDD &amp; PBU</c:v>
                </c:pt>
                <c:pt idx="43">
                  <c:v>Turn in Line</c:v>
                </c:pt>
                <c:pt idx="44">
                  <c:v>0</c:v>
                </c:pt>
                <c:pt idx="45">
                  <c:v>WATER OAK 1 D021</c:v>
                </c:pt>
                <c:pt idx="46">
                  <c:v>OCTG Order</c:v>
                </c:pt>
                <c:pt idx="47">
                  <c:v>Wellhead Order</c:v>
                </c:pt>
                <c:pt idx="48">
                  <c:v>Land Work, SUA &amp; Damages</c:v>
                </c:pt>
                <c:pt idx="49">
                  <c:v>Permitting &amp; Follow-up notifications</c:v>
                </c:pt>
                <c:pt idx="50">
                  <c:v>Pad Construction &amp; Conductor</c:v>
                </c:pt>
                <c:pt idx="51">
                  <c:v>Final Drill Plan and DWOP</c:v>
                </c:pt>
                <c:pt idx="52">
                  <c:v>Drill to TD</c:v>
                </c:pt>
                <c:pt idx="53">
                  <c:v>Log &amp; Run pipe</c:v>
                </c:pt>
                <c:pt idx="54">
                  <c:v>Completion Planning &amp; CWOP</c:v>
                </c:pt>
                <c:pt idx="55">
                  <c:v>Completion Operations</c:v>
                </c:pt>
                <c:pt idx="56">
                  <c:v>Perforate and DFIT's (5 intervals)</c:v>
                </c:pt>
                <c:pt idx="57">
                  <c:v>Set Packer &amp; Tube Up</c:v>
                </c:pt>
                <c:pt idx="58">
                  <c:v>Put well in service</c:v>
                </c:pt>
                <c:pt idx="59">
                  <c:v>0</c:v>
                </c:pt>
                <c:pt idx="60">
                  <c:v>FACILITIES CONSTRUCTION</c:v>
                </c:pt>
                <c:pt idx="61">
                  <c:v>Design Facilities</c:v>
                </c:pt>
                <c:pt idx="62">
                  <c:v>Order Equipment</c:v>
                </c:pt>
                <c:pt idx="63">
                  <c:v>Equip new wells</c:v>
                </c:pt>
                <c:pt idx="64">
                  <c:v>W/G Production and Injection Line Installation</c:v>
                </c:pt>
                <c:pt idx="65">
                  <c:v>Gas Marketing Agreements</c:v>
                </c:pt>
                <c:pt idx="66">
                  <c:v>0</c:v>
                </c:pt>
                <c:pt idx="67">
                  <c:v>0</c:v>
                </c:pt>
                <c:pt idx="68">
                  <c:v>CYMRIC 1MW ORC</c:v>
                </c:pt>
                <c:pt idx="69">
                  <c:v>Acquisition</c:v>
                </c:pt>
                <c:pt idx="70">
                  <c:v>Site Selection/Survey/Permitting</c:v>
                </c:pt>
                <c:pt idx="71">
                  <c:v>Construct Pad and Civil Works</c:v>
                </c:pt>
                <c:pt idx="72">
                  <c:v>Installation, Repairs &amp; Refurbishment</c:v>
                </c:pt>
                <c:pt idx="73">
                  <c:v>Testing &amp; Commissioning</c:v>
                </c:pt>
                <c:pt idx="74">
                  <c:v>Transmission Design &amp; Integration Plan</c:v>
                </c:pt>
                <c:pt idx="75">
                  <c:v>SUA &amp; Damages</c:v>
                </c:pt>
                <c:pt idx="76">
                  <c:v>Transmission Line Construction</c:v>
                </c:pt>
                <c:pt idx="77">
                  <c:v>Connection/Integration</c:v>
                </c:pt>
                <c:pt idx="78">
                  <c:v>Power Delivery &amp; Sales</c:v>
                </c:pt>
                <c:pt idx="79">
                  <c:v>0</c:v>
                </c:pt>
                <c:pt idx="80">
                  <c:v>PHASE II DEVELOPMENT</c:v>
                </c:pt>
                <c:pt idx="81">
                  <c:v>OCTG Order</c:v>
                </c:pt>
                <c:pt idx="82">
                  <c:v>Wellhead Order</c:v>
                </c:pt>
                <c:pt idx="83">
                  <c:v>Land/Lease</c:v>
                </c:pt>
                <c:pt idx="84">
                  <c:v>SUA &amp; Damages</c:v>
                </c:pt>
                <c:pt idx="85">
                  <c:v>Permitting</c:v>
                </c:pt>
                <c:pt idx="86">
                  <c:v>Pad Construction</c:v>
                </c:pt>
                <c:pt idx="87">
                  <c:v>Conductor - WO1 P022, P032, N042, N052</c:v>
                </c:pt>
                <c:pt idx="88">
                  <c:v>D&amp;C WO1 P022</c:v>
                </c:pt>
                <c:pt idx="89">
                  <c:v>Equip P022</c:v>
                </c:pt>
                <c:pt idx="90">
                  <c:v>D&amp;C WO1 P032</c:v>
                </c:pt>
                <c:pt idx="91">
                  <c:v>Equip P032</c:v>
                </c:pt>
                <c:pt idx="92">
                  <c:v>D&amp;C WO1 N042</c:v>
                </c:pt>
                <c:pt idx="93">
                  <c:v>Equip N042</c:v>
                </c:pt>
                <c:pt idx="94">
                  <c:v>D&amp;C WO1 N052</c:v>
                </c:pt>
                <c:pt idx="95">
                  <c:v>Equip N052</c:v>
                </c:pt>
                <c:pt idx="96">
                  <c:v>Pad Construction</c:v>
                </c:pt>
                <c:pt idx="97">
                  <c:v>Conductor - WO1 P062, P072, N082, N092</c:v>
                </c:pt>
                <c:pt idx="98">
                  <c:v>D&amp;C WO1 P062</c:v>
                </c:pt>
                <c:pt idx="99">
                  <c:v>Equip P062</c:v>
                </c:pt>
                <c:pt idx="100">
                  <c:v>D&amp;C WO1 P072</c:v>
                </c:pt>
                <c:pt idx="101">
                  <c:v>Equip P072</c:v>
                </c:pt>
                <c:pt idx="102">
                  <c:v>D&amp;C WO1 N082</c:v>
                </c:pt>
                <c:pt idx="103">
                  <c:v>Equip N082</c:v>
                </c:pt>
                <c:pt idx="104">
                  <c:v>D&amp;C WO1 N092</c:v>
                </c:pt>
                <c:pt idx="105">
                  <c:v>Equip N092</c:v>
                </c:pt>
                <c:pt idx="106">
                  <c:v>Pad Construction</c:v>
                </c:pt>
                <c:pt idx="107">
                  <c:v>Conductor - WO1 N101, P111, N121</c:v>
                </c:pt>
                <c:pt idx="108">
                  <c:v>D&amp;C WO1 N101</c:v>
                </c:pt>
                <c:pt idx="109">
                  <c:v>Equip N101</c:v>
                </c:pt>
                <c:pt idx="110">
                  <c:v>D&amp;C WO1 P111</c:v>
                </c:pt>
                <c:pt idx="111">
                  <c:v>Equip P111</c:v>
                </c:pt>
                <c:pt idx="112">
                  <c:v>D&amp;C WO1 N121</c:v>
                </c:pt>
                <c:pt idx="113">
                  <c:v>Equip N121</c:v>
                </c:pt>
                <c:pt idx="114">
                  <c:v>0</c:v>
                </c:pt>
                <c:pt idx="115">
                  <c:v>MIDSTREAM CONSTRUCTION</c:v>
                </c:pt>
                <c:pt idx="116">
                  <c:v>W&amp;G Trunk Lines (3)</c:v>
                </c:pt>
                <c:pt idx="117">
                  <c:v>0</c:v>
                </c:pt>
                <c:pt idx="118">
                  <c:v>WATER OAK PLANT 1 (20MW)</c:v>
                </c:pt>
                <c:pt idx="119">
                  <c:v>RFP</c:v>
                </c:pt>
                <c:pt idx="120">
                  <c:v>Permitting</c:v>
                </c:pt>
                <c:pt idx="121">
                  <c:v>Preliminary Design</c:v>
                </c:pt>
                <c:pt idx="122">
                  <c:v>FEED</c:v>
                </c:pt>
                <c:pt idx="123">
                  <c:v>Fabrication</c:v>
                </c:pt>
                <c:pt idx="124">
                  <c:v>Mobilization</c:v>
                </c:pt>
                <c:pt idx="125">
                  <c:v>Construction</c:v>
                </c:pt>
                <c:pt idx="126">
                  <c:v>Installation</c:v>
                </c:pt>
                <c:pt idx="127">
                  <c:v>Commisioning</c:v>
                </c:pt>
                <c:pt idx="128">
                  <c:v>Transmission Design &amp; Integration Plan</c:v>
                </c:pt>
                <c:pt idx="129">
                  <c:v>Transmission Line Construction</c:v>
                </c:pt>
                <c:pt idx="130">
                  <c:v>Connection/Integration</c:v>
                </c:pt>
                <c:pt idx="131">
                  <c:v>Power Delivery &amp; Sales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strCache>
            </c:strRef>
          </c:cat>
          <c:val>
            <c:numRef>
              <c:f>Modeler!$H$7:$H$150</c:f>
              <c:numCache>
                <c:formatCode>General</c:formatCode>
                <c:ptCount val="144"/>
                <c:pt idx="0">
                  <c:v>0</c:v>
                </c:pt>
                <c:pt idx="1">
                  <c:v>25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106</c:v>
                </c:pt>
                <c:pt idx="31">
                  <c:v>60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60</c:v>
                </c:pt>
                <c:pt idx="89">
                  <c:v>0</c:v>
                </c:pt>
                <c:pt idx="90">
                  <c:v>60</c:v>
                </c:pt>
                <c:pt idx="91">
                  <c:v>0</c:v>
                </c:pt>
                <c:pt idx="92">
                  <c:v>60</c:v>
                </c:pt>
                <c:pt idx="93">
                  <c:v>0</c:v>
                </c:pt>
                <c:pt idx="94">
                  <c:v>60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60</c:v>
                </c:pt>
                <c:pt idx="99">
                  <c:v>0</c:v>
                </c:pt>
                <c:pt idx="100">
                  <c:v>60</c:v>
                </c:pt>
                <c:pt idx="101">
                  <c:v>0</c:v>
                </c:pt>
                <c:pt idx="102">
                  <c:v>60</c:v>
                </c:pt>
                <c:pt idx="103">
                  <c:v>0</c:v>
                </c:pt>
                <c:pt idx="104">
                  <c:v>60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30</c:v>
                </c:pt>
                <c:pt idx="109">
                  <c:v>0</c:v>
                </c:pt>
                <c:pt idx="110">
                  <c:v>30</c:v>
                </c:pt>
                <c:pt idx="111">
                  <c:v>0</c:v>
                </c:pt>
                <c:pt idx="112">
                  <c:v>30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120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8D-4DAC-A273-7C461DED7914}"/>
            </c:ext>
          </c:extLst>
        </c:ser>
        <c:ser>
          <c:idx val="12"/>
          <c:order val="4"/>
          <c:tx>
            <c:strRef>
              <c:f>Modeler!$J$4</c:f>
              <c:strCache>
                <c:ptCount val="1"/>
                <c:pt idx="0">
                  <c:v>Days2</c:v>
                </c:pt>
              </c:strCache>
            </c:strRef>
          </c:tx>
          <c:spPr>
            <a:pattFill prst="dotDmnd">
              <a:fgClr>
                <a:schemeClr val="bg2">
                  <a:lumMod val="50000"/>
                </a:schemeClr>
              </a:fgClr>
              <a:bgClr>
                <a:schemeClr val="bg1"/>
              </a:bgClr>
            </a:pattFill>
            <a:ln w="12700">
              <a:solidFill>
                <a:srgbClr val="FF0000"/>
              </a:solidFill>
            </a:ln>
          </c:spPr>
          <c:invertIfNegative val="0"/>
          <c:dPt>
            <c:idx val="13"/>
            <c:invertIfNegative val="0"/>
            <c:bubble3D val="0"/>
            <c:spPr>
              <a:pattFill prst="dotDmnd">
                <a:fgClr>
                  <a:schemeClr val="bg2">
                    <a:lumMod val="50000"/>
                  </a:schemeClr>
                </a:fgClr>
                <a:bgClr>
                  <a:schemeClr val="bg1"/>
                </a:bgClr>
              </a:pattFill>
              <a:ln w="12700">
                <a:solidFill>
                  <a:schemeClr val="bg2">
                    <a:lumMod val="50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05-038D-4DAC-A273-7C461DED7914}"/>
              </c:ext>
            </c:extLst>
          </c:dPt>
          <c:dPt>
            <c:idx val="16"/>
            <c:invertIfNegative val="0"/>
            <c:bubble3D val="0"/>
            <c:spPr>
              <a:pattFill prst="dotDmnd">
                <a:fgClr>
                  <a:schemeClr val="bg2">
                    <a:lumMod val="50000"/>
                  </a:schemeClr>
                </a:fgClr>
                <a:bgClr>
                  <a:schemeClr val="bg1"/>
                </a:bgClr>
              </a:pattFill>
              <a:ln w="12700">
                <a:solidFill>
                  <a:schemeClr val="bg2">
                    <a:lumMod val="50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07-038D-4DAC-A273-7C461DED7914}"/>
              </c:ext>
            </c:extLst>
          </c:dPt>
          <c:dPt>
            <c:idx val="17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 w="12700">
                <a:solidFill>
                  <a:schemeClr val="bg2">
                    <a:lumMod val="50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09-038D-4DAC-A273-7C461DED7914}"/>
              </c:ext>
            </c:extLst>
          </c:dPt>
          <c:cat>
            <c:strRef>
              <c:f>Modeler!$C$7:$C$150</c:f>
              <c:strCache>
                <c:ptCount val="144"/>
                <c:pt idx="0">
                  <c:v>DATA GATHERING</c:v>
                </c:pt>
                <c:pt idx="1">
                  <c:v>Seismic Acquisition / Interpretation</c:v>
                </c:pt>
                <c:pt idx="2">
                  <c:v>Geologic Model</c:v>
                </c:pt>
                <c:pt idx="3">
                  <c:v>Reservoir Model</c:v>
                </c:pt>
                <c:pt idx="4">
                  <c:v>- Well Spacing/Temp/Rate Model - 20MW</c:v>
                </c:pt>
                <c:pt idx="5">
                  <c:v>- 20MW Full Simulation</c:v>
                </c:pt>
                <c:pt idx="6">
                  <c:v>- 20MW Development Plan</c:v>
                </c:pt>
                <c:pt idx="7">
                  <c:v>Reservoir Test Analysis - Pure #1</c:v>
                </c:pt>
                <c:pt idx="8">
                  <c:v>Core Analysis - Water Oak #1-1PV</c:v>
                </c:pt>
                <c:pt idx="9">
                  <c:v>Reservoir Test Analysis - Water Oak #1 - 1PV</c:v>
                </c:pt>
                <c:pt idx="10">
                  <c:v>0</c:v>
                </c:pt>
                <c:pt idx="11">
                  <c:v>PURE #1 ACTIVITIES</c:v>
                </c:pt>
                <c:pt idx="12">
                  <c:v>Acquisition</c:v>
                </c:pt>
                <c:pt idx="13">
                  <c:v>SUA &amp; Damages</c:v>
                </c:pt>
                <c:pt idx="14">
                  <c:v>Surface Site Prep, Facilities Repair &amp; Gas Mktg</c:v>
                </c:pt>
                <c:pt idx="15">
                  <c:v>Workover/Re-Entry</c:v>
                </c:pt>
                <c:pt idx="16">
                  <c:v>Flow Test</c:v>
                </c:pt>
                <c:pt idx="17">
                  <c:v>Conversion Workover - Ops Planning</c:v>
                </c:pt>
                <c:pt idx="18">
                  <c:v>Permitting for Conversion</c:v>
                </c:pt>
                <c:pt idx="19">
                  <c:v>Conversion Workover</c:v>
                </c:pt>
                <c:pt idx="20">
                  <c:v>0</c:v>
                </c:pt>
                <c:pt idx="21">
                  <c:v>PURE #1D ACTIVITIES</c:v>
                </c:pt>
                <c:pt idx="22">
                  <c:v>Acquisition</c:v>
                </c:pt>
                <c:pt idx="23">
                  <c:v>Surface Site Prep, Facilities Repair &amp; Injection Testing</c:v>
                </c:pt>
                <c:pt idx="24">
                  <c:v>Disposal Operations</c:v>
                </c:pt>
                <c:pt idx="25">
                  <c:v>Surface Equipment Removal</c:v>
                </c:pt>
                <c:pt idx="26">
                  <c:v>0</c:v>
                </c:pt>
                <c:pt idx="27">
                  <c:v>WATER OAK 1 P011CR</c:v>
                </c:pt>
                <c:pt idx="28">
                  <c:v>OCTG Order</c:v>
                </c:pt>
                <c:pt idx="29">
                  <c:v>Wellhead Order</c:v>
                </c:pt>
                <c:pt idx="30">
                  <c:v>Land Work, SUA &amp; Damages</c:v>
                </c:pt>
                <c:pt idx="31">
                  <c:v>Environmental &amp; Permitting</c:v>
                </c:pt>
                <c:pt idx="32">
                  <c:v>Pad Construction &amp; Conductor</c:v>
                </c:pt>
                <c:pt idx="33">
                  <c:v>Final Drill Plan and DWOP</c:v>
                </c:pt>
                <c:pt idx="34">
                  <c:v>Drill to core point</c:v>
                </c:pt>
                <c:pt idx="35">
                  <c:v>Core, Log &amp; Run Pipe</c:v>
                </c:pt>
                <c:pt idx="36">
                  <c:v>Wait on data processing for log &amp; core</c:v>
                </c:pt>
                <c:pt idx="37">
                  <c:v>Completion Planning &amp; CWOP</c:v>
                </c:pt>
                <c:pt idx="38">
                  <c:v>Completion Operations</c:v>
                </c:pt>
                <c:pt idx="39">
                  <c:v>Perforate and DFIT's (5 intervals)</c:v>
                </c:pt>
                <c:pt idx="40">
                  <c:v>Set Packer &amp; Tube Up</c:v>
                </c:pt>
                <c:pt idx="41">
                  <c:v>Flow Test</c:v>
                </c:pt>
                <c:pt idx="42">
                  <c:v>PDD &amp; PBU</c:v>
                </c:pt>
                <c:pt idx="43">
                  <c:v>Turn in Line</c:v>
                </c:pt>
                <c:pt idx="44">
                  <c:v>0</c:v>
                </c:pt>
                <c:pt idx="45">
                  <c:v>WATER OAK 1 D021</c:v>
                </c:pt>
                <c:pt idx="46">
                  <c:v>OCTG Order</c:v>
                </c:pt>
                <c:pt idx="47">
                  <c:v>Wellhead Order</c:v>
                </c:pt>
                <c:pt idx="48">
                  <c:v>Land Work, SUA &amp; Damages</c:v>
                </c:pt>
                <c:pt idx="49">
                  <c:v>Permitting &amp; Follow-up notifications</c:v>
                </c:pt>
                <c:pt idx="50">
                  <c:v>Pad Construction &amp; Conductor</c:v>
                </c:pt>
                <c:pt idx="51">
                  <c:v>Final Drill Plan and DWOP</c:v>
                </c:pt>
                <c:pt idx="52">
                  <c:v>Drill to TD</c:v>
                </c:pt>
                <c:pt idx="53">
                  <c:v>Log &amp; Run pipe</c:v>
                </c:pt>
                <c:pt idx="54">
                  <c:v>Completion Planning &amp; CWOP</c:v>
                </c:pt>
                <c:pt idx="55">
                  <c:v>Completion Operations</c:v>
                </c:pt>
                <c:pt idx="56">
                  <c:v>Perforate and DFIT's (5 intervals)</c:v>
                </c:pt>
                <c:pt idx="57">
                  <c:v>Set Packer &amp; Tube Up</c:v>
                </c:pt>
                <c:pt idx="58">
                  <c:v>Put well in service</c:v>
                </c:pt>
                <c:pt idx="59">
                  <c:v>0</c:v>
                </c:pt>
                <c:pt idx="60">
                  <c:v>FACILITIES CONSTRUCTION</c:v>
                </c:pt>
                <c:pt idx="61">
                  <c:v>Design Facilities</c:v>
                </c:pt>
                <c:pt idx="62">
                  <c:v>Order Equipment</c:v>
                </c:pt>
                <c:pt idx="63">
                  <c:v>Equip new wells</c:v>
                </c:pt>
                <c:pt idx="64">
                  <c:v>W/G Production and Injection Line Installation</c:v>
                </c:pt>
                <c:pt idx="65">
                  <c:v>Gas Marketing Agreements</c:v>
                </c:pt>
                <c:pt idx="66">
                  <c:v>0</c:v>
                </c:pt>
                <c:pt idx="67">
                  <c:v>0</c:v>
                </c:pt>
                <c:pt idx="68">
                  <c:v>CYMRIC 1MW ORC</c:v>
                </c:pt>
                <c:pt idx="69">
                  <c:v>Acquisition</c:v>
                </c:pt>
                <c:pt idx="70">
                  <c:v>Site Selection/Survey/Permitting</c:v>
                </c:pt>
                <c:pt idx="71">
                  <c:v>Construct Pad and Civil Works</c:v>
                </c:pt>
                <c:pt idx="72">
                  <c:v>Installation, Repairs &amp; Refurbishment</c:v>
                </c:pt>
                <c:pt idx="73">
                  <c:v>Testing &amp; Commissioning</c:v>
                </c:pt>
                <c:pt idx="74">
                  <c:v>Transmission Design &amp; Integration Plan</c:v>
                </c:pt>
                <c:pt idx="75">
                  <c:v>SUA &amp; Damages</c:v>
                </c:pt>
                <c:pt idx="76">
                  <c:v>Transmission Line Construction</c:v>
                </c:pt>
                <c:pt idx="77">
                  <c:v>Connection/Integration</c:v>
                </c:pt>
                <c:pt idx="78">
                  <c:v>Power Delivery &amp; Sales</c:v>
                </c:pt>
                <c:pt idx="79">
                  <c:v>0</c:v>
                </c:pt>
                <c:pt idx="80">
                  <c:v>PHASE II DEVELOPMENT</c:v>
                </c:pt>
                <c:pt idx="81">
                  <c:v>OCTG Order</c:v>
                </c:pt>
                <c:pt idx="82">
                  <c:v>Wellhead Order</c:v>
                </c:pt>
                <c:pt idx="83">
                  <c:v>Land/Lease</c:v>
                </c:pt>
                <c:pt idx="84">
                  <c:v>SUA &amp; Damages</c:v>
                </c:pt>
                <c:pt idx="85">
                  <c:v>Permitting</c:v>
                </c:pt>
                <c:pt idx="86">
                  <c:v>Pad Construction</c:v>
                </c:pt>
                <c:pt idx="87">
                  <c:v>Conductor - WO1 P022, P032, N042, N052</c:v>
                </c:pt>
                <c:pt idx="88">
                  <c:v>D&amp;C WO1 P022</c:v>
                </c:pt>
                <c:pt idx="89">
                  <c:v>Equip P022</c:v>
                </c:pt>
                <c:pt idx="90">
                  <c:v>D&amp;C WO1 P032</c:v>
                </c:pt>
                <c:pt idx="91">
                  <c:v>Equip P032</c:v>
                </c:pt>
                <c:pt idx="92">
                  <c:v>D&amp;C WO1 N042</c:v>
                </c:pt>
                <c:pt idx="93">
                  <c:v>Equip N042</c:v>
                </c:pt>
                <c:pt idx="94">
                  <c:v>D&amp;C WO1 N052</c:v>
                </c:pt>
                <c:pt idx="95">
                  <c:v>Equip N052</c:v>
                </c:pt>
                <c:pt idx="96">
                  <c:v>Pad Construction</c:v>
                </c:pt>
                <c:pt idx="97">
                  <c:v>Conductor - WO1 P062, P072, N082, N092</c:v>
                </c:pt>
                <c:pt idx="98">
                  <c:v>D&amp;C WO1 P062</c:v>
                </c:pt>
                <c:pt idx="99">
                  <c:v>Equip P062</c:v>
                </c:pt>
                <c:pt idx="100">
                  <c:v>D&amp;C WO1 P072</c:v>
                </c:pt>
                <c:pt idx="101">
                  <c:v>Equip P072</c:v>
                </c:pt>
                <c:pt idx="102">
                  <c:v>D&amp;C WO1 N082</c:v>
                </c:pt>
                <c:pt idx="103">
                  <c:v>Equip N082</c:v>
                </c:pt>
                <c:pt idx="104">
                  <c:v>D&amp;C WO1 N092</c:v>
                </c:pt>
                <c:pt idx="105">
                  <c:v>Equip N092</c:v>
                </c:pt>
                <c:pt idx="106">
                  <c:v>Pad Construction</c:v>
                </c:pt>
                <c:pt idx="107">
                  <c:v>Conductor - WO1 N101, P111, N121</c:v>
                </c:pt>
                <c:pt idx="108">
                  <c:v>D&amp;C WO1 N101</c:v>
                </c:pt>
                <c:pt idx="109">
                  <c:v>Equip N101</c:v>
                </c:pt>
                <c:pt idx="110">
                  <c:v>D&amp;C WO1 P111</c:v>
                </c:pt>
                <c:pt idx="111">
                  <c:v>Equip P111</c:v>
                </c:pt>
                <c:pt idx="112">
                  <c:v>D&amp;C WO1 N121</c:v>
                </c:pt>
                <c:pt idx="113">
                  <c:v>Equip N121</c:v>
                </c:pt>
                <c:pt idx="114">
                  <c:v>0</c:v>
                </c:pt>
                <c:pt idx="115">
                  <c:v>MIDSTREAM CONSTRUCTION</c:v>
                </c:pt>
                <c:pt idx="116">
                  <c:v>W&amp;G Trunk Lines (3)</c:v>
                </c:pt>
                <c:pt idx="117">
                  <c:v>0</c:v>
                </c:pt>
                <c:pt idx="118">
                  <c:v>WATER OAK PLANT 1 (20MW)</c:v>
                </c:pt>
                <c:pt idx="119">
                  <c:v>RFP</c:v>
                </c:pt>
                <c:pt idx="120">
                  <c:v>Permitting</c:v>
                </c:pt>
                <c:pt idx="121">
                  <c:v>Preliminary Design</c:v>
                </c:pt>
                <c:pt idx="122">
                  <c:v>FEED</c:v>
                </c:pt>
                <c:pt idx="123">
                  <c:v>Fabrication</c:v>
                </c:pt>
                <c:pt idx="124">
                  <c:v>Mobilization</c:v>
                </c:pt>
                <c:pt idx="125">
                  <c:v>Construction</c:v>
                </c:pt>
                <c:pt idx="126">
                  <c:v>Installation</c:v>
                </c:pt>
                <c:pt idx="127">
                  <c:v>Commisioning</c:v>
                </c:pt>
                <c:pt idx="128">
                  <c:v>Transmission Design &amp; Integration Plan</c:v>
                </c:pt>
                <c:pt idx="129">
                  <c:v>Transmission Line Construction</c:v>
                </c:pt>
                <c:pt idx="130">
                  <c:v>Connection/Integration</c:v>
                </c:pt>
                <c:pt idx="131">
                  <c:v>Power Delivery &amp; Sales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strCache>
            </c:strRef>
          </c:cat>
          <c:val>
            <c:numRef>
              <c:f>Modeler!$J$7:$J$150</c:f>
              <c:numCache>
                <c:formatCode>General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38D-4DAC-A273-7C461DED7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788543744"/>
        <c:axId val="788544136"/>
        <c:extLst>
          <c:ext xmlns:c15="http://schemas.microsoft.com/office/drawing/2012/chart" uri="{02D57815-91ED-43cb-92C2-25804820EDAC}">
            <c15:filteredBarSeries>
              <c15:ser>
                <c:idx val="13"/>
                <c:order val="5"/>
                <c:tx>
                  <c:strRef>
                    <c:extLst>
                      <c:ext uri="{02D57815-91ED-43cb-92C2-25804820EDAC}">
                        <c15:formulaRef>
                          <c15:sqref>Modeler!$K$4</c15:sqref>
                        </c15:formulaRef>
                      </c:ext>
                    </c:extLst>
                    <c:strCache>
                      <c:ptCount val="1"/>
                      <c:pt idx="0">
                        <c:v>DT Rem</c:v>
                      </c:pt>
                    </c:strCache>
                  </c:strRef>
                </c:tx>
                <c:spPr>
                  <a:solidFill>
                    <a:schemeClr val="accent2">
                      <a:lumMod val="40000"/>
                      <a:lumOff val="60000"/>
                    </a:schemeClr>
                  </a:solidFill>
                </c:spPr>
                <c:invertIfNegative val="0"/>
                <c:dPt>
                  <c:idx val="17"/>
                  <c:invertIfNegative val="0"/>
                  <c:bubble3D val="0"/>
                  <c:spPr>
                    <a:pattFill prst="dotDmnd">
                      <a:fgClr>
                        <a:schemeClr val="bg2">
                          <a:lumMod val="75000"/>
                        </a:schemeClr>
                      </a:fgClr>
                      <a:bgClr>
                        <a:schemeClr val="bg1"/>
                      </a:bgClr>
                    </a:pattFill>
                    <a:ln w="12700">
                      <a:solidFill>
                        <a:schemeClr val="bg1">
                          <a:lumMod val="75000"/>
                        </a:schemeClr>
                      </a:solidFill>
                    </a:ln>
                  </c:spPr>
                  <c:extLst>
                    <c:ext xmlns:c16="http://schemas.microsoft.com/office/drawing/2014/chart" uri="{C3380CC4-5D6E-409C-BE32-E72D297353CC}">
                      <c16:uniqueId val="{0000000C-038D-4DAC-A273-7C461DED7914}"/>
                    </c:ext>
                  </c:extLst>
                </c:dPt>
                <c:cat>
                  <c:strRef>
                    <c:extLst>
                      <c:ext uri="{02D57815-91ED-43cb-92C2-25804820EDAC}">
                        <c15:formulaRef>
                          <c15:sqref>Modeler!$C$7:$C$150</c15:sqref>
                        </c15:formulaRef>
                      </c:ext>
                    </c:extLst>
                    <c:strCache>
                      <c:ptCount val="144"/>
                      <c:pt idx="0">
                        <c:v>DATA GATHERING</c:v>
                      </c:pt>
                      <c:pt idx="1">
                        <c:v>Seismic Acquisition / Interpretation</c:v>
                      </c:pt>
                      <c:pt idx="2">
                        <c:v>Geologic Model</c:v>
                      </c:pt>
                      <c:pt idx="3">
                        <c:v>Reservoir Model</c:v>
                      </c:pt>
                      <c:pt idx="4">
                        <c:v>- Well Spacing/Temp/Rate Model - 20MW</c:v>
                      </c:pt>
                      <c:pt idx="5">
                        <c:v>- 20MW Full Simulation</c:v>
                      </c:pt>
                      <c:pt idx="6">
                        <c:v>- 20MW Development Plan</c:v>
                      </c:pt>
                      <c:pt idx="7">
                        <c:v>Reservoir Test Analysis - Pure #1</c:v>
                      </c:pt>
                      <c:pt idx="8">
                        <c:v>Core Analysis - Water Oak #1-1PV</c:v>
                      </c:pt>
                      <c:pt idx="9">
                        <c:v>Reservoir Test Analysis - Water Oak #1 - 1PV</c:v>
                      </c:pt>
                      <c:pt idx="10">
                        <c:v>0</c:v>
                      </c:pt>
                      <c:pt idx="11">
                        <c:v>PURE #1 ACTIVITIES</c:v>
                      </c:pt>
                      <c:pt idx="12">
                        <c:v>Acquisition</c:v>
                      </c:pt>
                      <c:pt idx="13">
                        <c:v>SUA &amp; Damages</c:v>
                      </c:pt>
                      <c:pt idx="14">
                        <c:v>Surface Site Prep, Facilities Repair &amp; Gas Mktg</c:v>
                      </c:pt>
                      <c:pt idx="15">
                        <c:v>Workover/Re-Entry</c:v>
                      </c:pt>
                      <c:pt idx="16">
                        <c:v>Flow Test</c:v>
                      </c:pt>
                      <c:pt idx="17">
                        <c:v>Conversion Workover - Ops Planning</c:v>
                      </c:pt>
                      <c:pt idx="18">
                        <c:v>Permitting for Conversion</c:v>
                      </c:pt>
                      <c:pt idx="19">
                        <c:v>Conversion Workover</c:v>
                      </c:pt>
                      <c:pt idx="20">
                        <c:v>0</c:v>
                      </c:pt>
                      <c:pt idx="21">
                        <c:v>PURE #1D ACTIVITIES</c:v>
                      </c:pt>
                      <c:pt idx="22">
                        <c:v>Acquisition</c:v>
                      </c:pt>
                      <c:pt idx="23">
                        <c:v>Surface Site Prep, Facilities Repair &amp; Injection Testing</c:v>
                      </c:pt>
                      <c:pt idx="24">
                        <c:v>Disposal Operations</c:v>
                      </c:pt>
                      <c:pt idx="25">
                        <c:v>Surface Equipment Removal</c:v>
                      </c:pt>
                      <c:pt idx="26">
                        <c:v>0</c:v>
                      </c:pt>
                      <c:pt idx="27">
                        <c:v>WATER OAK 1 P011CR</c:v>
                      </c:pt>
                      <c:pt idx="28">
                        <c:v>OCTG Order</c:v>
                      </c:pt>
                      <c:pt idx="29">
                        <c:v>Wellhead Order</c:v>
                      </c:pt>
                      <c:pt idx="30">
                        <c:v>Land Work, SUA &amp; Damages</c:v>
                      </c:pt>
                      <c:pt idx="31">
                        <c:v>Environmental &amp; Permitting</c:v>
                      </c:pt>
                      <c:pt idx="32">
                        <c:v>Pad Construction &amp; Conductor</c:v>
                      </c:pt>
                      <c:pt idx="33">
                        <c:v>Final Drill Plan and DWOP</c:v>
                      </c:pt>
                      <c:pt idx="34">
                        <c:v>Drill to core point</c:v>
                      </c:pt>
                      <c:pt idx="35">
                        <c:v>Core, Log &amp; Run Pipe</c:v>
                      </c:pt>
                      <c:pt idx="36">
                        <c:v>Wait on data processing for log &amp; core</c:v>
                      </c:pt>
                      <c:pt idx="37">
                        <c:v>Completion Planning &amp; CWOP</c:v>
                      </c:pt>
                      <c:pt idx="38">
                        <c:v>Completion Operations</c:v>
                      </c:pt>
                      <c:pt idx="39">
                        <c:v>Perforate and DFIT's (5 intervals)</c:v>
                      </c:pt>
                      <c:pt idx="40">
                        <c:v>Set Packer &amp; Tube Up</c:v>
                      </c:pt>
                      <c:pt idx="41">
                        <c:v>Flow Test</c:v>
                      </c:pt>
                      <c:pt idx="42">
                        <c:v>PDD &amp; PBU</c:v>
                      </c:pt>
                      <c:pt idx="43">
                        <c:v>Turn in Line</c:v>
                      </c:pt>
                      <c:pt idx="44">
                        <c:v>0</c:v>
                      </c:pt>
                      <c:pt idx="45">
                        <c:v>WATER OAK 1 D021</c:v>
                      </c:pt>
                      <c:pt idx="46">
                        <c:v>OCTG Order</c:v>
                      </c:pt>
                      <c:pt idx="47">
                        <c:v>Wellhead Order</c:v>
                      </c:pt>
                      <c:pt idx="48">
                        <c:v>Land Work, SUA &amp; Damages</c:v>
                      </c:pt>
                      <c:pt idx="49">
                        <c:v>Permitting &amp; Follow-up notifications</c:v>
                      </c:pt>
                      <c:pt idx="50">
                        <c:v>Pad Construction &amp; Conductor</c:v>
                      </c:pt>
                      <c:pt idx="51">
                        <c:v>Final Drill Plan and DWOP</c:v>
                      </c:pt>
                      <c:pt idx="52">
                        <c:v>Drill to TD</c:v>
                      </c:pt>
                      <c:pt idx="53">
                        <c:v>Log &amp; Run pipe</c:v>
                      </c:pt>
                      <c:pt idx="54">
                        <c:v>Completion Planning &amp; CWOP</c:v>
                      </c:pt>
                      <c:pt idx="55">
                        <c:v>Completion Operations</c:v>
                      </c:pt>
                      <c:pt idx="56">
                        <c:v>Perforate and DFIT's (5 intervals)</c:v>
                      </c:pt>
                      <c:pt idx="57">
                        <c:v>Set Packer &amp; Tube Up</c:v>
                      </c:pt>
                      <c:pt idx="58">
                        <c:v>Put well in service</c:v>
                      </c:pt>
                      <c:pt idx="59">
                        <c:v>0</c:v>
                      </c:pt>
                      <c:pt idx="60">
                        <c:v>FACILITIES CONSTRUCTION</c:v>
                      </c:pt>
                      <c:pt idx="61">
                        <c:v>Design Facilities</c:v>
                      </c:pt>
                      <c:pt idx="62">
                        <c:v>Order Equipment</c:v>
                      </c:pt>
                      <c:pt idx="63">
                        <c:v>Equip new wells</c:v>
                      </c:pt>
                      <c:pt idx="64">
                        <c:v>W/G Production and Injection Line Installation</c:v>
                      </c:pt>
                      <c:pt idx="65">
                        <c:v>Gas Marketing Agreements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CYMRIC 1MW ORC</c:v>
                      </c:pt>
                      <c:pt idx="69">
                        <c:v>Acquisition</c:v>
                      </c:pt>
                      <c:pt idx="70">
                        <c:v>Site Selection/Survey/Permitting</c:v>
                      </c:pt>
                      <c:pt idx="71">
                        <c:v>Construct Pad and Civil Works</c:v>
                      </c:pt>
                      <c:pt idx="72">
                        <c:v>Installation, Repairs &amp; Refurbishment</c:v>
                      </c:pt>
                      <c:pt idx="73">
                        <c:v>Testing &amp; Commissioning</c:v>
                      </c:pt>
                      <c:pt idx="74">
                        <c:v>Transmission Design &amp; Integration Plan</c:v>
                      </c:pt>
                      <c:pt idx="75">
                        <c:v>SUA &amp; Damages</c:v>
                      </c:pt>
                      <c:pt idx="76">
                        <c:v>Transmission Line Construction</c:v>
                      </c:pt>
                      <c:pt idx="77">
                        <c:v>Connection/Integration</c:v>
                      </c:pt>
                      <c:pt idx="78">
                        <c:v>Power Delivery &amp; Sales</c:v>
                      </c:pt>
                      <c:pt idx="79">
                        <c:v>0</c:v>
                      </c:pt>
                      <c:pt idx="80">
                        <c:v>PHASE II DEVELOPMENT</c:v>
                      </c:pt>
                      <c:pt idx="81">
                        <c:v>OCTG Order</c:v>
                      </c:pt>
                      <c:pt idx="82">
                        <c:v>Wellhead Order</c:v>
                      </c:pt>
                      <c:pt idx="83">
                        <c:v>Land/Lease</c:v>
                      </c:pt>
                      <c:pt idx="84">
                        <c:v>SUA &amp; Damages</c:v>
                      </c:pt>
                      <c:pt idx="85">
                        <c:v>Permitting</c:v>
                      </c:pt>
                      <c:pt idx="86">
                        <c:v>Pad Construction</c:v>
                      </c:pt>
                      <c:pt idx="87">
                        <c:v>Conductor - WO1 P022, P032, N042, N052</c:v>
                      </c:pt>
                      <c:pt idx="88">
                        <c:v>D&amp;C WO1 P022</c:v>
                      </c:pt>
                      <c:pt idx="89">
                        <c:v>Equip P022</c:v>
                      </c:pt>
                      <c:pt idx="90">
                        <c:v>D&amp;C WO1 P032</c:v>
                      </c:pt>
                      <c:pt idx="91">
                        <c:v>Equip P032</c:v>
                      </c:pt>
                      <c:pt idx="92">
                        <c:v>D&amp;C WO1 N042</c:v>
                      </c:pt>
                      <c:pt idx="93">
                        <c:v>Equip N042</c:v>
                      </c:pt>
                      <c:pt idx="94">
                        <c:v>D&amp;C WO1 N052</c:v>
                      </c:pt>
                      <c:pt idx="95">
                        <c:v>Equip N052</c:v>
                      </c:pt>
                      <c:pt idx="96">
                        <c:v>Pad Construction</c:v>
                      </c:pt>
                      <c:pt idx="97">
                        <c:v>Conductor - WO1 P062, P072, N082, N092</c:v>
                      </c:pt>
                      <c:pt idx="98">
                        <c:v>D&amp;C WO1 P062</c:v>
                      </c:pt>
                      <c:pt idx="99">
                        <c:v>Equip P062</c:v>
                      </c:pt>
                      <c:pt idx="100">
                        <c:v>D&amp;C WO1 P072</c:v>
                      </c:pt>
                      <c:pt idx="101">
                        <c:v>Equip P072</c:v>
                      </c:pt>
                      <c:pt idx="102">
                        <c:v>D&amp;C WO1 N082</c:v>
                      </c:pt>
                      <c:pt idx="103">
                        <c:v>Equip N082</c:v>
                      </c:pt>
                      <c:pt idx="104">
                        <c:v>D&amp;C WO1 N092</c:v>
                      </c:pt>
                      <c:pt idx="105">
                        <c:v>Equip N092</c:v>
                      </c:pt>
                      <c:pt idx="106">
                        <c:v>Pad Construction</c:v>
                      </c:pt>
                      <c:pt idx="107">
                        <c:v>Conductor - WO1 N101, P111, N121</c:v>
                      </c:pt>
                      <c:pt idx="108">
                        <c:v>D&amp;C WO1 N101</c:v>
                      </c:pt>
                      <c:pt idx="109">
                        <c:v>Equip N101</c:v>
                      </c:pt>
                      <c:pt idx="110">
                        <c:v>D&amp;C WO1 P111</c:v>
                      </c:pt>
                      <c:pt idx="111">
                        <c:v>Equip P111</c:v>
                      </c:pt>
                      <c:pt idx="112">
                        <c:v>D&amp;C WO1 N121</c:v>
                      </c:pt>
                      <c:pt idx="113">
                        <c:v>Equip N121</c:v>
                      </c:pt>
                      <c:pt idx="114">
                        <c:v>0</c:v>
                      </c:pt>
                      <c:pt idx="115">
                        <c:v>MIDSTREAM CONSTRUCTION</c:v>
                      </c:pt>
                      <c:pt idx="116">
                        <c:v>W&amp;G Trunk Lines (3)</c:v>
                      </c:pt>
                      <c:pt idx="117">
                        <c:v>0</c:v>
                      </c:pt>
                      <c:pt idx="118">
                        <c:v>WATER OAK PLANT 1 (20MW)</c:v>
                      </c:pt>
                      <c:pt idx="119">
                        <c:v>RFP</c:v>
                      </c:pt>
                      <c:pt idx="120">
                        <c:v>Permitting</c:v>
                      </c:pt>
                      <c:pt idx="121">
                        <c:v>Preliminary Design</c:v>
                      </c:pt>
                      <c:pt idx="122">
                        <c:v>FEED</c:v>
                      </c:pt>
                      <c:pt idx="123">
                        <c:v>Fabrication</c:v>
                      </c:pt>
                      <c:pt idx="124">
                        <c:v>Mobilization</c:v>
                      </c:pt>
                      <c:pt idx="125">
                        <c:v>Construction</c:v>
                      </c:pt>
                      <c:pt idx="126">
                        <c:v>Installation</c:v>
                      </c:pt>
                      <c:pt idx="127">
                        <c:v>Commisioning</c:v>
                      </c:pt>
                      <c:pt idx="128">
                        <c:v>Transmission Design &amp; Integration Plan</c:v>
                      </c:pt>
                      <c:pt idx="129">
                        <c:v>Transmission Line Construction</c:v>
                      </c:pt>
                      <c:pt idx="130">
                        <c:v>Connection/Integration</c:v>
                      </c:pt>
                      <c:pt idx="131">
                        <c:v>Power Delivery &amp; Sales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Modeler!$K$7:$K$150</c15:sqref>
                        </c15:formulaRef>
                      </c:ext>
                    </c:extLst>
                    <c:numCache>
                      <c:formatCode>General</c:formatCode>
                      <c:ptCount val="14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D-038D-4DAC-A273-7C461DED7914}"/>
                  </c:ext>
                </c:extLst>
              </c15:ser>
            </c15:filteredBarSeries>
            <c15:filteredBarSeries>
              <c15:ser>
                <c:idx val="1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Modeler!$L$4</c15:sqref>
                        </c15:formulaRef>
                      </c:ext>
                    </c:extLst>
                    <c:strCache>
                      <c:ptCount val="1"/>
                      <c:pt idx="0">
                        <c:v>Plug</c:v>
                      </c:pt>
                    </c:strCache>
                  </c:strRef>
                </c:tx>
                <c:spPr>
                  <a:solidFill>
                    <a:srgbClr val="CC6600"/>
                  </a:solidFill>
                  <a:ln w="3175">
                    <a:solidFill>
                      <a:srgbClr val="000000"/>
                    </a:solidFill>
                    <a:prstDash val="solid"/>
                  </a:ln>
                </c:spPr>
                <c:invertIfNegative val="0"/>
                <c:dPt>
                  <c:idx val="17"/>
                  <c:invertIfNegative val="0"/>
                  <c:bubble3D val="0"/>
                  <c:spPr>
                    <a:solidFill>
                      <a:srgbClr val="CC6600"/>
                    </a:solidFill>
                    <a:ln w="3175">
                      <a:solidFill>
                        <a:schemeClr val="tx1"/>
                      </a:solidFill>
                      <a:prstDash val="solid"/>
                    </a:ln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F-038D-4DAC-A273-7C461DED7914}"/>
                    </c:ext>
                  </c:extLst>
                </c:dPt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Modeler!$C$7:$C$150</c15:sqref>
                        </c15:formulaRef>
                      </c:ext>
                    </c:extLst>
                    <c:strCache>
                      <c:ptCount val="144"/>
                      <c:pt idx="0">
                        <c:v>DATA GATHERING</c:v>
                      </c:pt>
                      <c:pt idx="1">
                        <c:v>Seismic Acquisition / Interpretation</c:v>
                      </c:pt>
                      <c:pt idx="2">
                        <c:v>Geologic Model</c:v>
                      </c:pt>
                      <c:pt idx="3">
                        <c:v>Reservoir Model</c:v>
                      </c:pt>
                      <c:pt idx="4">
                        <c:v>- Well Spacing/Temp/Rate Model - 20MW</c:v>
                      </c:pt>
                      <c:pt idx="5">
                        <c:v>- 20MW Full Simulation</c:v>
                      </c:pt>
                      <c:pt idx="6">
                        <c:v>- 20MW Development Plan</c:v>
                      </c:pt>
                      <c:pt idx="7">
                        <c:v>Reservoir Test Analysis - Pure #1</c:v>
                      </c:pt>
                      <c:pt idx="8">
                        <c:v>Core Analysis - Water Oak #1-1PV</c:v>
                      </c:pt>
                      <c:pt idx="9">
                        <c:v>Reservoir Test Analysis - Water Oak #1 - 1PV</c:v>
                      </c:pt>
                      <c:pt idx="10">
                        <c:v>0</c:v>
                      </c:pt>
                      <c:pt idx="11">
                        <c:v>PURE #1 ACTIVITIES</c:v>
                      </c:pt>
                      <c:pt idx="12">
                        <c:v>Acquisition</c:v>
                      </c:pt>
                      <c:pt idx="13">
                        <c:v>SUA &amp; Damages</c:v>
                      </c:pt>
                      <c:pt idx="14">
                        <c:v>Surface Site Prep, Facilities Repair &amp; Gas Mktg</c:v>
                      </c:pt>
                      <c:pt idx="15">
                        <c:v>Workover/Re-Entry</c:v>
                      </c:pt>
                      <c:pt idx="16">
                        <c:v>Flow Test</c:v>
                      </c:pt>
                      <c:pt idx="17">
                        <c:v>Conversion Workover - Ops Planning</c:v>
                      </c:pt>
                      <c:pt idx="18">
                        <c:v>Permitting for Conversion</c:v>
                      </c:pt>
                      <c:pt idx="19">
                        <c:v>Conversion Workover</c:v>
                      </c:pt>
                      <c:pt idx="20">
                        <c:v>0</c:v>
                      </c:pt>
                      <c:pt idx="21">
                        <c:v>PURE #1D ACTIVITIES</c:v>
                      </c:pt>
                      <c:pt idx="22">
                        <c:v>Acquisition</c:v>
                      </c:pt>
                      <c:pt idx="23">
                        <c:v>Surface Site Prep, Facilities Repair &amp; Injection Testing</c:v>
                      </c:pt>
                      <c:pt idx="24">
                        <c:v>Disposal Operations</c:v>
                      </c:pt>
                      <c:pt idx="25">
                        <c:v>Surface Equipment Removal</c:v>
                      </c:pt>
                      <c:pt idx="26">
                        <c:v>0</c:v>
                      </c:pt>
                      <c:pt idx="27">
                        <c:v>WATER OAK 1 P011CR</c:v>
                      </c:pt>
                      <c:pt idx="28">
                        <c:v>OCTG Order</c:v>
                      </c:pt>
                      <c:pt idx="29">
                        <c:v>Wellhead Order</c:v>
                      </c:pt>
                      <c:pt idx="30">
                        <c:v>Land Work, SUA &amp; Damages</c:v>
                      </c:pt>
                      <c:pt idx="31">
                        <c:v>Environmental &amp; Permitting</c:v>
                      </c:pt>
                      <c:pt idx="32">
                        <c:v>Pad Construction &amp; Conductor</c:v>
                      </c:pt>
                      <c:pt idx="33">
                        <c:v>Final Drill Plan and DWOP</c:v>
                      </c:pt>
                      <c:pt idx="34">
                        <c:v>Drill to core point</c:v>
                      </c:pt>
                      <c:pt idx="35">
                        <c:v>Core, Log &amp; Run Pipe</c:v>
                      </c:pt>
                      <c:pt idx="36">
                        <c:v>Wait on data processing for log &amp; core</c:v>
                      </c:pt>
                      <c:pt idx="37">
                        <c:v>Completion Planning &amp; CWOP</c:v>
                      </c:pt>
                      <c:pt idx="38">
                        <c:v>Completion Operations</c:v>
                      </c:pt>
                      <c:pt idx="39">
                        <c:v>Perforate and DFIT's (5 intervals)</c:v>
                      </c:pt>
                      <c:pt idx="40">
                        <c:v>Set Packer &amp; Tube Up</c:v>
                      </c:pt>
                      <c:pt idx="41">
                        <c:v>Flow Test</c:v>
                      </c:pt>
                      <c:pt idx="42">
                        <c:v>PDD &amp; PBU</c:v>
                      </c:pt>
                      <c:pt idx="43">
                        <c:v>Turn in Line</c:v>
                      </c:pt>
                      <c:pt idx="44">
                        <c:v>0</c:v>
                      </c:pt>
                      <c:pt idx="45">
                        <c:v>WATER OAK 1 D021</c:v>
                      </c:pt>
                      <c:pt idx="46">
                        <c:v>OCTG Order</c:v>
                      </c:pt>
                      <c:pt idx="47">
                        <c:v>Wellhead Order</c:v>
                      </c:pt>
                      <c:pt idx="48">
                        <c:v>Land Work, SUA &amp; Damages</c:v>
                      </c:pt>
                      <c:pt idx="49">
                        <c:v>Permitting &amp; Follow-up notifications</c:v>
                      </c:pt>
                      <c:pt idx="50">
                        <c:v>Pad Construction &amp; Conductor</c:v>
                      </c:pt>
                      <c:pt idx="51">
                        <c:v>Final Drill Plan and DWOP</c:v>
                      </c:pt>
                      <c:pt idx="52">
                        <c:v>Drill to TD</c:v>
                      </c:pt>
                      <c:pt idx="53">
                        <c:v>Log &amp; Run pipe</c:v>
                      </c:pt>
                      <c:pt idx="54">
                        <c:v>Completion Planning &amp; CWOP</c:v>
                      </c:pt>
                      <c:pt idx="55">
                        <c:v>Completion Operations</c:v>
                      </c:pt>
                      <c:pt idx="56">
                        <c:v>Perforate and DFIT's (5 intervals)</c:v>
                      </c:pt>
                      <c:pt idx="57">
                        <c:v>Set Packer &amp; Tube Up</c:v>
                      </c:pt>
                      <c:pt idx="58">
                        <c:v>Put well in service</c:v>
                      </c:pt>
                      <c:pt idx="59">
                        <c:v>0</c:v>
                      </c:pt>
                      <c:pt idx="60">
                        <c:v>FACILITIES CONSTRUCTION</c:v>
                      </c:pt>
                      <c:pt idx="61">
                        <c:v>Design Facilities</c:v>
                      </c:pt>
                      <c:pt idx="62">
                        <c:v>Order Equipment</c:v>
                      </c:pt>
                      <c:pt idx="63">
                        <c:v>Equip new wells</c:v>
                      </c:pt>
                      <c:pt idx="64">
                        <c:v>W/G Production and Injection Line Installation</c:v>
                      </c:pt>
                      <c:pt idx="65">
                        <c:v>Gas Marketing Agreements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CYMRIC 1MW ORC</c:v>
                      </c:pt>
                      <c:pt idx="69">
                        <c:v>Acquisition</c:v>
                      </c:pt>
                      <c:pt idx="70">
                        <c:v>Site Selection/Survey/Permitting</c:v>
                      </c:pt>
                      <c:pt idx="71">
                        <c:v>Construct Pad and Civil Works</c:v>
                      </c:pt>
                      <c:pt idx="72">
                        <c:v>Installation, Repairs &amp; Refurbishment</c:v>
                      </c:pt>
                      <c:pt idx="73">
                        <c:v>Testing &amp; Commissioning</c:v>
                      </c:pt>
                      <c:pt idx="74">
                        <c:v>Transmission Design &amp; Integration Plan</c:v>
                      </c:pt>
                      <c:pt idx="75">
                        <c:v>SUA &amp; Damages</c:v>
                      </c:pt>
                      <c:pt idx="76">
                        <c:v>Transmission Line Construction</c:v>
                      </c:pt>
                      <c:pt idx="77">
                        <c:v>Connection/Integration</c:v>
                      </c:pt>
                      <c:pt idx="78">
                        <c:v>Power Delivery &amp; Sales</c:v>
                      </c:pt>
                      <c:pt idx="79">
                        <c:v>0</c:v>
                      </c:pt>
                      <c:pt idx="80">
                        <c:v>PHASE II DEVELOPMENT</c:v>
                      </c:pt>
                      <c:pt idx="81">
                        <c:v>OCTG Order</c:v>
                      </c:pt>
                      <c:pt idx="82">
                        <c:v>Wellhead Order</c:v>
                      </c:pt>
                      <c:pt idx="83">
                        <c:v>Land/Lease</c:v>
                      </c:pt>
                      <c:pt idx="84">
                        <c:v>SUA &amp; Damages</c:v>
                      </c:pt>
                      <c:pt idx="85">
                        <c:v>Permitting</c:v>
                      </c:pt>
                      <c:pt idx="86">
                        <c:v>Pad Construction</c:v>
                      </c:pt>
                      <c:pt idx="87">
                        <c:v>Conductor - WO1 P022, P032, N042, N052</c:v>
                      </c:pt>
                      <c:pt idx="88">
                        <c:v>D&amp;C WO1 P022</c:v>
                      </c:pt>
                      <c:pt idx="89">
                        <c:v>Equip P022</c:v>
                      </c:pt>
                      <c:pt idx="90">
                        <c:v>D&amp;C WO1 P032</c:v>
                      </c:pt>
                      <c:pt idx="91">
                        <c:v>Equip P032</c:v>
                      </c:pt>
                      <c:pt idx="92">
                        <c:v>D&amp;C WO1 N042</c:v>
                      </c:pt>
                      <c:pt idx="93">
                        <c:v>Equip N042</c:v>
                      </c:pt>
                      <c:pt idx="94">
                        <c:v>D&amp;C WO1 N052</c:v>
                      </c:pt>
                      <c:pt idx="95">
                        <c:v>Equip N052</c:v>
                      </c:pt>
                      <c:pt idx="96">
                        <c:v>Pad Construction</c:v>
                      </c:pt>
                      <c:pt idx="97">
                        <c:v>Conductor - WO1 P062, P072, N082, N092</c:v>
                      </c:pt>
                      <c:pt idx="98">
                        <c:v>D&amp;C WO1 P062</c:v>
                      </c:pt>
                      <c:pt idx="99">
                        <c:v>Equip P062</c:v>
                      </c:pt>
                      <c:pt idx="100">
                        <c:v>D&amp;C WO1 P072</c:v>
                      </c:pt>
                      <c:pt idx="101">
                        <c:v>Equip P072</c:v>
                      </c:pt>
                      <c:pt idx="102">
                        <c:v>D&amp;C WO1 N082</c:v>
                      </c:pt>
                      <c:pt idx="103">
                        <c:v>Equip N082</c:v>
                      </c:pt>
                      <c:pt idx="104">
                        <c:v>D&amp;C WO1 N092</c:v>
                      </c:pt>
                      <c:pt idx="105">
                        <c:v>Equip N092</c:v>
                      </c:pt>
                      <c:pt idx="106">
                        <c:v>Pad Construction</c:v>
                      </c:pt>
                      <c:pt idx="107">
                        <c:v>Conductor - WO1 N101, P111, N121</c:v>
                      </c:pt>
                      <c:pt idx="108">
                        <c:v>D&amp;C WO1 N101</c:v>
                      </c:pt>
                      <c:pt idx="109">
                        <c:v>Equip N101</c:v>
                      </c:pt>
                      <c:pt idx="110">
                        <c:v>D&amp;C WO1 P111</c:v>
                      </c:pt>
                      <c:pt idx="111">
                        <c:v>Equip P111</c:v>
                      </c:pt>
                      <c:pt idx="112">
                        <c:v>D&amp;C WO1 N121</c:v>
                      </c:pt>
                      <c:pt idx="113">
                        <c:v>Equip N121</c:v>
                      </c:pt>
                      <c:pt idx="114">
                        <c:v>0</c:v>
                      </c:pt>
                      <c:pt idx="115">
                        <c:v>MIDSTREAM CONSTRUCTION</c:v>
                      </c:pt>
                      <c:pt idx="116">
                        <c:v>W&amp;G Trunk Lines (3)</c:v>
                      </c:pt>
                      <c:pt idx="117">
                        <c:v>0</c:v>
                      </c:pt>
                      <c:pt idx="118">
                        <c:v>WATER OAK PLANT 1 (20MW)</c:v>
                      </c:pt>
                      <c:pt idx="119">
                        <c:v>RFP</c:v>
                      </c:pt>
                      <c:pt idx="120">
                        <c:v>Permitting</c:v>
                      </c:pt>
                      <c:pt idx="121">
                        <c:v>Preliminary Design</c:v>
                      </c:pt>
                      <c:pt idx="122">
                        <c:v>FEED</c:v>
                      </c:pt>
                      <c:pt idx="123">
                        <c:v>Fabrication</c:v>
                      </c:pt>
                      <c:pt idx="124">
                        <c:v>Mobilization</c:v>
                      </c:pt>
                      <c:pt idx="125">
                        <c:v>Construction</c:v>
                      </c:pt>
                      <c:pt idx="126">
                        <c:v>Installation</c:v>
                      </c:pt>
                      <c:pt idx="127">
                        <c:v>Commisioning</c:v>
                      </c:pt>
                      <c:pt idx="128">
                        <c:v>Transmission Design &amp; Integration Plan</c:v>
                      </c:pt>
                      <c:pt idx="129">
                        <c:v>Transmission Line Construction</c:v>
                      </c:pt>
                      <c:pt idx="130">
                        <c:v>Connection/Integration</c:v>
                      </c:pt>
                      <c:pt idx="131">
                        <c:v>Power Delivery &amp; Sales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Modeler!$M$7:$M$150</c15:sqref>
                        </c15:formulaRef>
                      </c:ext>
                    </c:extLst>
                    <c:numCache>
                      <c:formatCode>General</c:formatCode>
                      <c:ptCount val="14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38D-4DAC-A273-7C461DED7914}"/>
                  </c:ext>
                </c:extLst>
              </c15:ser>
            </c15:filteredBarSeries>
            <c15:filteredBarSeries>
              <c15:ser>
                <c:idx val="2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Modeler!$N$4</c15:sqref>
                        </c15:formulaRef>
                      </c:ext>
                    </c:extLst>
                    <c:strCache>
                      <c:ptCount val="1"/>
                      <c:pt idx="0">
                        <c:v>DT Plug</c:v>
                      </c:pt>
                    </c:strCache>
                  </c:strRef>
                </c:tx>
                <c:spPr>
                  <a:pattFill prst="smConfetti">
                    <a:fgClr>
                      <a:schemeClr val="bg1">
                        <a:lumMod val="75000"/>
                      </a:schemeClr>
                    </a:fgClr>
                    <a:bgClr>
                      <a:schemeClr val="bg1"/>
                    </a:bgClr>
                  </a:pattFill>
                  <a:ln w="3175">
                    <a:solidFill>
                      <a:schemeClr val="tx1"/>
                    </a:solidFill>
                  </a:ln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Modeler!$C$7:$C$150</c15:sqref>
                        </c15:formulaRef>
                      </c:ext>
                    </c:extLst>
                    <c:strCache>
                      <c:ptCount val="144"/>
                      <c:pt idx="0">
                        <c:v>DATA GATHERING</c:v>
                      </c:pt>
                      <c:pt idx="1">
                        <c:v>Seismic Acquisition / Interpretation</c:v>
                      </c:pt>
                      <c:pt idx="2">
                        <c:v>Geologic Model</c:v>
                      </c:pt>
                      <c:pt idx="3">
                        <c:v>Reservoir Model</c:v>
                      </c:pt>
                      <c:pt idx="4">
                        <c:v>- Well Spacing/Temp/Rate Model - 20MW</c:v>
                      </c:pt>
                      <c:pt idx="5">
                        <c:v>- 20MW Full Simulation</c:v>
                      </c:pt>
                      <c:pt idx="6">
                        <c:v>- 20MW Development Plan</c:v>
                      </c:pt>
                      <c:pt idx="7">
                        <c:v>Reservoir Test Analysis - Pure #1</c:v>
                      </c:pt>
                      <c:pt idx="8">
                        <c:v>Core Analysis - Water Oak #1-1PV</c:v>
                      </c:pt>
                      <c:pt idx="9">
                        <c:v>Reservoir Test Analysis - Water Oak #1 - 1PV</c:v>
                      </c:pt>
                      <c:pt idx="10">
                        <c:v>0</c:v>
                      </c:pt>
                      <c:pt idx="11">
                        <c:v>PURE #1 ACTIVITIES</c:v>
                      </c:pt>
                      <c:pt idx="12">
                        <c:v>Acquisition</c:v>
                      </c:pt>
                      <c:pt idx="13">
                        <c:v>SUA &amp; Damages</c:v>
                      </c:pt>
                      <c:pt idx="14">
                        <c:v>Surface Site Prep, Facilities Repair &amp; Gas Mktg</c:v>
                      </c:pt>
                      <c:pt idx="15">
                        <c:v>Workover/Re-Entry</c:v>
                      </c:pt>
                      <c:pt idx="16">
                        <c:v>Flow Test</c:v>
                      </c:pt>
                      <c:pt idx="17">
                        <c:v>Conversion Workover - Ops Planning</c:v>
                      </c:pt>
                      <c:pt idx="18">
                        <c:v>Permitting for Conversion</c:v>
                      </c:pt>
                      <c:pt idx="19">
                        <c:v>Conversion Workover</c:v>
                      </c:pt>
                      <c:pt idx="20">
                        <c:v>0</c:v>
                      </c:pt>
                      <c:pt idx="21">
                        <c:v>PURE #1D ACTIVITIES</c:v>
                      </c:pt>
                      <c:pt idx="22">
                        <c:v>Acquisition</c:v>
                      </c:pt>
                      <c:pt idx="23">
                        <c:v>Surface Site Prep, Facilities Repair &amp; Injection Testing</c:v>
                      </c:pt>
                      <c:pt idx="24">
                        <c:v>Disposal Operations</c:v>
                      </c:pt>
                      <c:pt idx="25">
                        <c:v>Surface Equipment Removal</c:v>
                      </c:pt>
                      <c:pt idx="26">
                        <c:v>0</c:v>
                      </c:pt>
                      <c:pt idx="27">
                        <c:v>WATER OAK 1 P011CR</c:v>
                      </c:pt>
                      <c:pt idx="28">
                        <c:v>OCTG Order</c:v>
                      </c:pt>
                      <c:pt idx="29">
                        <c:v>Wellhead Order</c:v>
                      </c:pt>
                      <c:pt idx="30">
                        <c:v>Land Work, SUA &amp; Damages</c:v>
                      </c:pt>
                      <c:pt idx="31">
                        <c:v>Environmental &amp; Permitting</c:v>
                      </c:pt>
                      <c:pt idx="32">
                        <c:v>Pad Construction &amp; Conductor</c:v>
                      </c:pt>
                      <c:pt idx="33">
                        <c:v>Final Drill Plan and DWOP</c:v>
                      </c:pt>
                      <c:pt idx="34">
                        <c:v>Drill to core point</c:v>
                      </c:pt>
                      <c:pt idx="35">
                        <c:v>Core, Log &amp; Run Pipe</c:v>
                      </c:pt>
                      <c:pt idx="36">
                        <c:v>Wait on data processing for log &amp; core</c:v>
                      </c:pt>
                      <c:pt idx="37">
                        <c:v>Completion Planning &amp; CWOP</c:v>
                      </c:pt>
                      <c:pt idx="38">
                        <c:v>Completion Operations</c:v>
                      </c:pt>
                      <c:pt idx="39">
                        <c:v>Perforate and DFIT's (5 intervals)</c:v>
                      </c:pt>
                      <c:pt idx="40">
                        <c:v>Set Packer &amp; Tube Up</c:v>
                      </c:pt>
                      <c:pt idx="41">
                        <c:v>Flow Test</c:v>
                      </c:pt>
                      <c:pt idx="42">
                        <c:v>PDD &amp; PBU</c:v>
                      </c:pt>
                      <c:pt idx="43">
                        <c:v>Turn in Line</c:v>
                      </c:pt>
                      <c:pt idx="44">
                        <c:v>0</c:v>
                      </c:pt>
                      <c:pt idx="45">
                        <c:v>WATER OAK 1 D021</c:v>
                      </c:pt>
                      <c:pt idx="46">
                        <c:v>OCTG Order</c:v>
                      </c:pt>
                      <c:pt idx="47">
                        <c:v>Wellhead Order</c:v>
                      </c:pt>
                      <c:pt idx="48">
                        <c:v>Land Work, SUA &amp; Damages</c:v>
                      </c:pt>
                      <c:pt idx="49">
                        <c:v>Permitting &amp; Follow-up notifications</c:v>
                      </c:pt>
                      <c:pt idx="50">
                        <c:v>Pad Construction &amp; Conductor</c:v>
                      </c:pt>
                      <c:pt idx="51">
                        <c:v>Final Drill Plan and DWOP</c:v>
                      </c:pt>
                      <c:pt idx="52">
                        <c:v>Drill to TD</c:v>
                      </c:pt>
                      <c:pt idx="53">
                        <c:v>Log &amp; Run pipe</c:v>
                      </c:pt>
                      <c:pt idx="54">
                        <c:v>Completion Planning &amp; CWOP</c:v>
                      </c:pt>
                      <c:pt idx="55">
                        <c:v>Completion Operations</c:v>
                      </c:pt>
                      <c:pt idx="56">
                        <c:v>Perforate and DFIT's (5 intervals)</c:v>
                      </c:pt>
                      <c:pt idx="57">
                        <c:v>Set Packer &amp; Tube Up</c:v>
                      </c:pt>
                      <c:pt idx="58">
                        <c:v>Put well in service</c:v>
                      </c:pt>
                      <c:pt idx="59">
                        <c:v>0</c:v>
                      </c:pt>
                      <c:pt idx="60">
                        <c:v>FACILITIES CONSTRUCTION</c:v>
                      </c:pt>
                      <c:pt idx="61">
                        <c:v>Design Facilities</c:v>
                      </c:pt>
                      <c:pt idx="62">
                        <c:v>Order Equipment</c:v>
                      </c:pt>
                      <c:pt idx="63">
                        <c:v>Equip new wells</c:v>
                      </c:pt>
                      <c:pt idx="64">
                        <c:v>W/G Production and Injection Line Installation</c:v>
                      </c:pt>
                      <c:pt idx="65">
                        <c:v>Gas Marketing Agreements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CYMRIC 1MW ORC</c:v>
                      </c:pt>
                      <c:pt idx="69">
                        <c:v>Acquisition</c:v>
                      </c:pt>
                      <c:pt idx="70">
                        <c:v>Site Selection/Survey/Permitting</c:v>
                      </c:pt>
                      <c:pt idx="71">
                        <c:v>Construct Pad and Civil Works</c:v>
                      </c:pt>
                      <c:pt idx="72">
                        <c:v>Installation, Repairs &amp; Refurbishment</c:v>
                      </c:pt>
                      <c:pt idx="73">
                        <c:v>Testing &amp; Commissioning</c:v>
                      </c:pt>
                      <c:pt idx="74">
                        <c:v>Transmission Design &amp; Integration Plan</c:v>
                      </c:pt>
                      <c:pt idx="75">
                        <c:v>SUA &amp; Damages</c:v>
                      </c:pt>
                      <c:pt idx="76">
                        <c:v>Transmission Line Construction</c:v>
                      </c:pt>
                      <c:pt idx="77">
                        <c:v>Connection/Integration</c:v>
                      </c:pt>
                      <c:pt idx="78">
                        <c:v>Power Delivery &amp; Sales</c:v>
                      </c:pt>
                      <c:pt idx="79">
                        <c:v>0</c:v>
                      </c:pt>
                      <c:pt idx="80">
                        <c:v>PHASE II DEVELOPMENT</c:v>
                      </c:pt>
                      <c:pt idx="81">
                        <c:v>OCTG Order</c:v>
                      </c:pt>
                      <c:pt idx="82">
                        <c:v>Wellhead Order</c:v>
                      </c:pt>
                      <c:pt idx="83">
                        <c:v>Land/Lease</c:v>
                      </c:pt>
                      <c:pt idx="84">
                        <c:v>SUA &amp; Damages</c:v>
                      </c:pt>
                      <c:pt idx="85">
                        <c:v>Permitting</c:v>
                      </c:pt>
                      <c:pt idx="86">
                        <c:v>Pad Construction</c:v>
                      </c:pt>
                      <c:pt idx="87">
                        <c:v>Conductor - WO1 P022, P032, N042, N052</c:v>
                      </c:pt>
                      <c:pt idx="88">
                        <c:v>D&amp;C WO1 P022</c:v>
                      </c:pt>
                      <c:pt idx="89">
                        <c:v>Equip P022</c:v>
                      </c:pt>
                      <c:pt idx="90">
                        <c:v>D&amp;C WO1 P032</c:v>
                      </c:pt>
                      <c:pt idx="91">
                        <c:v>Equip P032</c:v>
                      </c:pt>
                      <c:pt idx="92">
                        <c:v>D&amp;C WO1 N042</c:v>
                      </c:pt>
                      <c:pt idx="93">
                        <c:v>Equip N042</c:v>
                      </c:pt>
                      <c:pt idx="94">
                        <c:v>D&amp;C WO1 N052</c:v>
                      </c:pt>
                      <c:pt idx="95">
                        <c:v>Equip N052</c:v>
                      </c:pt>
                      <c:pt idx="96">
                        <c:v>Pad Construction</c:v>
                      </c:pt>
                      <c:pt idx="97">
                        <c:v>Conductor - WO1 P062, P072, N082, N092</c:v>
                      </c:pt>
                      <c:pt idx="98">
                        <c:v>D&amp;C WO1 P062</c:v>
                      </c:pt>
                      <c:pt idx="99">
                        <c:v>Equip P062</c:v>
                      </c:pt>
                      <c:pt idx="100">
                        <c:v>D&amp;C WO1 P072</c:v>
                      </c:pt>
                      <c:pt idx="101">
                        <c:v>Equip P072</c:v>
                      </c:pt>
                      <c:pt idx="102">
                        <c:v>D&amp;C WO1 N082</c:v>
                      </c:pt>
                      <c:pt idx="103">
                        <c:v>Equip N082</c:v>
                      </c:pt>
                      <c:pt idx="104">
                        <c:v>D&amp;C WO1 N092</c:v>
                      </c:pt>
                      <c:pt idx="105">
                        <c:v>Equip N092</c:v>
                      </c:pt>
                      <c:pt idx="106">
                        <c:v>Pad Construction</c:v>
                      </c:pt>
                      <c:pt idx="107">
                        <c:v>Conductor - WO1 N101, P111, N121</c:v>
                      </c:pt>
                      <c:pt idx="108">
                        <c:v>D&amp;C WO1 N101</c:v>
                      </c:pt>
                      <c:pt idx="109">
                        <c:v>Equip N101</c:v>
                      </c:pt>
                      <c:pt idx="110">
                        <c:v>D&amp;C WO1 P111</c:v>
                      </c:pt>
                      <c:pt idx="111">
                        <c:v>Equip P111</c:v>
                      </c:pt>
                      <c:pt idx="112">
                        <c:v>D&amp;C WO1 N121</c:v>
                      </c:pt>
                      <c:pt idx="113">
                        <c:v>Equip N121</c:v>
                      </c:pt>
                      <c:pt idx="114">
                        <c:v>0</c:v>
                      </c:pt>
                      <c:pt idx="115">
                        <c:v>MIDSTREAM CONSTRUCTION</c:v>
                      </c:pt>
                      <c:pt idx="116">
                        <c:v>W&amp;G Trunk Lines (3)</c:v>
                      </c:pt>
                      <c:pt idx="117">
                        <c:v>0</c:v>
                      </c:pt>
                      <c:pt idx="118">
                        <c:v>WATER OAK PLANT 1 (20MW)</c:v>
                      </c:pt>
                      <c:pt idx="119">
                        <c:v>RFP</c:v>
                      </c:pt>
                      <c:pt idx="120">
                        <c:v>Permitting</c:v>
                      </c:pt>
                      <c:pt idx="121">
                        <c:v>Preliminary Design</c:v>
                      </c:pt>
                      <c:pt idx="122">
                        <c:v>FEED</c:v>
                      </c:pt>
                      <c:pt idx="123">
                        <c:v>Fabrication</c:v>
                      </c:pt>
                      <c:pt idx="124">
                        <c:v>Mobilization</c:v>
                      </c:pt>
                      <c:pt idx="125">
                        <c:v>Construction</c:v>
                      </c:pt>
                      <c:pt idx="126">
                        <c:v>Installation</c:v>
                      </c:pt>
                      <c:pt idx="127">
                        <c:v>Commisioning</c:v>
                      </c:pt>
                      <c:pt idx="128">
                        <c:v>Transmission Design &amp; Integration Plan</c:v>
                      </c:pt>
                      <c:pt idx="129">
                        <c:v>Transmission Line Construction</c:v>
                      </c:pt>
                      <c:pt idx="130">
                        <c:v>Connection/Integration</c:v>
                      </c:pt>
                      <c:pt idx="131">
                        <c:v>Power Delivery &amp; Sales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Modeler!$N$7:$N$150</c15:sqref>
                        </c15:formulaRef>
                      </c:ext>
                    </c:extLst>
                    <c:numCache>
                      <c:formatCode>#,##0</c:formatCode>
                      <c:ptCount val="144"/>
                      <c:pt idx="0">
                        <c:v>0</c:v>
                      </c:pt>
                      <c:pt idx="1">
                        <c:v>0</c:v>
                      </c:pt>
                      <c:pt idx="2">
                        <c:v>-2092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038D-4DAC-A273-7C461DED7914}"/>
                  </c:ext>
                </c:extLst>
              </c15:ser>
            </c15:filteredBarSeries>
            <c15:filteredBarSeries>
              <c15:ser>
                <c:idx val="3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Modeler!$O$4</c15:sqref>
                        </c15:formulaRef>
                      </c:ext>
                    </c:extLst>
                    <c:strCache>
                      <c:ptCount val="1"/>
                      <c:pt idx="0">
                        <c:v>Polish</c:v>
                      </c:pt>
                    </c:strCache>
                  </c:strRef>
                </c:tx>
                <c:spPr>
                  <a:solidFill>
                    <a:schemeClr val="bg1">
                      <a:lumMod val="75000"/>
                    </a:schemeClr>
                  </a:solidFill>
                  <a:ln w="3175">
                    <a:solidFill>
                      <a:srgbClr val="000000"/>
                    </a:solidFill>
                    <a:prstDash val="solid"/>
                  </a:ln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Modeler!$C$7:$C$150</c15:sqref>
                        </c15:formulaRef>
                      </c:ext>
                    </c:extLst>
                    <c:strCache>
                      <c:ptCount val="144"/>
                      <c:pt idx="0">
                        <c:v>DATA GATHERING</c:v>
                      </c:pt>
                      <c:pt idx="1">
                        <c:v>Seismic Acquisition / Interpretation</c:v>
                      </c:pt>
                      <c:pt idx="2">
                        <c:v>Geologic Model</c:v>
                      </c:pt>
                      <c:pt idx="3">
                        <c:v>Reservoir Model</c:v>
                      </c:pt>
                      <c:pt idx="4">
                        <c:v>- Well Spacing/Temp/Rate Model - 20MW</c:v>
                      </c:pt>
                      <c:pt idx="5">
                        <c:v>- 20MW Full Simulation</c:v>
                      </c:pt>
                      <c:pt idx="6">
                        <c:v>- 20MW Development Plan</c:v>
                      </c:pt>
                      <c:pt idx="7">
                        <c:v>Reservoir Test Analysis - Pure #1</c:v>
                      </c:pt>
                      <c:pt idx="8">
                        <c:v>Core Analysis - Water Oak #1-1PV</c:v>
                      </c:pt>
                      <c:pt idx="9">
                        <c:v>Reservoir Test Analysis - Water Oak #1 - 1PV</c:v>
                      </c:pt>
                      <c:pt idx="10">
                        <c:v>0</c:v>
                      </c:pt>
                      <c:pt idx="11">
                        <c:v>PURE #1 ACTIVITIES</c:v>
                      </c:pt>
                      <c:pt idx="12">
                        <c:v>Acquisition</c:v>
                      </c:pt>
                      <c:pt idx="13">
                        <c:v>SUA &amp; Damages</c:v>
                      </c:pt>
                      <c:pt idx="14">
                        <c:v>Surface Site Prep, Facilities Repair &amp; Gas Mktg</c:v>
                      </c:pt>
                      <c:pt idx="15">
                        <c:v>Workover/Re-Entry</c:v>
                      </c:pt>
                      <c:pt idx="16">
                        <c:v>Flow Test</c:v>
                      </c:pt>
                      <c:pt idx="17">
                        <c:v>Conversion Workover - Ops Planning</c:v>
                      </c:pt>
                      <c:pt idx="18">
                        <c:v>Permitting for Conversion</c:v>
                      </c:pt>
                      <c:pt idx="19">
                        <c:v>Conversion Workover</c:v>
                      </c:pt>
                      <c:pt idx="20">
                        <c:v>0</c:v>
                      </c:pt>
                      <c:pt idx="21">
                        <c:v>PURE #1D ACTIVITIES</c:v>
                      </c:pt>
                      <c:pt idx="22">
                        <c:v>Acquisition</c:v>
                      </c:pt>
                      <c:pt idx="23">
                        <c:v>Surface Site Prep, Facilities Repair &amp; Injection Testing</c:v>
                      </c:pt>
                      <c:pt idx="24">
                        <c:v>Disposal Operations</c:v>
                      </c:pt>
                      <c:pt idx="25">
                        <c:v>Surface Equipment Removal</c:v>
                      </c:pt>
                      <c:pt idx="26">
                        <c:v>0</c:v>
                      </c:pt>
                      <c:pt idx="27">
                        <c:v>WATER OAK 1 P011CR</c:v>
                      </c:pt>
                      <c:pt idx="28">
                        <c:v>OCTG Order</c:v>
                      </c:pt>
                      <c:pt idx="29">
                        <c:v>Wellhead Order</c:v>
                      </c:pt>
                      <c:pt idx="30">
                        <c:v>Land Work, SUA &amp; Damages</c:v>
                      </c:pt>
                      <c:pt idx="31">
                        <c:v>Environmental &amp; Permitting</c:v>
                      </c:pt>
                      <c:pt idx="32">
                        <c:v>Pad Construction &amp; Conductor</c:v>
                      </c:pt>
                      <c:pt idx="33">
                        <c:v>Final Drill Plan and DWOP</c:v>
                      </c:pt>
                      <c:pt idx="34">
                        <c:v>Drill to core point</c:v>
                      </c:pt>
                      <c:pt idx="35">
                        <c:v>Core, Log &amp; Run Pipe</c:v>
                      </c:pt>
                      <c:pt idx="36">
                        <c:v>Wait on data processing for log &amp; core</c:v>
                      </c:pt>
                      <c:pt idx="37">
                        <c:v>Completion Planning &amp; CWOP</c:v>
                      </c:pt>
                      <c:pt idx="38">
                        <c:v>Completion Operations</c:v>
                      </c:pt>
                      <c:pt idx="39">
                        <c:v>Perforate and DFIT's (5 intervals)</c:v>
                      </c:pt>
                      <c:pt idx="40">
                        <c:v>Set Packer &amp; Tube Up</c:v>
                      </c:pt>
                      <c:pt idx="41">
                        <c:v>Flow Test</c:v>
                      </c:pt>
                      <c:pt idx="42">
                        <c:v>PDD &amp; PBU</c:v>
                      </c:pt>
                      <c:pt idx="43">
                        <c:v>Turn in Line</c:v>
                      </c:pt>
                      <c:pt idx="44">
                        <c:v>0</c:v>
                      </c:pt>
                      <c:pt idx="45">
                        <c:v>WATER OAK 1 D021</c:v>
                      </c:pt>
                      <c:pt idx="46">
                        <c:v>OCTG Order</c:v>
                      </c:pt>
                      <c:pt idx="47">
                        <c:v>Wellhead Order</c:v>
                      </c:pt>
                      <c:pt idx="48">
                        <c:v>Land Work, SUA &amp; Damages</c:v>
                      </c:pt>
                      <c:pt idx="49">
                        <c:v>Permitting &amp; Follow-up notifications</c:v>
                      </c:pt>
                      <c:pt idx="50">
                        <c:v>Pad Construction &amp; Conductor</c:v>
                      </c:pt>
                      <c:pt idx="51">
                        <c:v>Final Drill Plan and DWOP</c:v>
                      </c:pt>
                      <c:pt idx="52">
                        <c:v>Drill to TD</c:v>
                      </c:pt>
                      <c:pt idx="53">
                        <c:v>Log &amp; Run pipe</c:v>
                      </c:pt>
                      <c:pt idx="54">
                        <c:v>Completion Planning &amp; CWOP</c:v>
                      </c:pt>
                      <c:pt idx="55">
                        <c:v>Completion Operations</c:v>
                      </c:pt>
                      <c:pt idx="56">
                        <c:v>Perforate and DFIT's (5 intervals)</c:v>
                      </c:pt>
                      <c:pt idx="57">
                        <c:v>Set Packer &amp; Tube Up</c:v>
                      </c:pt>
                      <c:pt idx="58">
                        <c:v>Put well in service</c:v>
                      </c:pt>
                      <c:pt idx="59">
                        <c:v>0</c:v>
                      </c:pt>
                      <c:pt idx="60">
                        <c:v>FACILITIES CONSTRUCTION</c:v>
                      </c:pt>
                      <c:pt idx="61">
                        <c:v>Design Facilities</c:v>
                      </c:pt>
                      <c:pt idx="62">
                        <c:v>Order Equipment</c:v>
                      </c:pt>
                      <c:pt idx="63">
                        <c:v>Equip new wells</c:v>
                      </c:pt>
                      <c:pt idx="64">
                        <c:v>W/G Production and Injection Line Installation</c:v>
                      </c:pt>
                      <c:pt idx="65">
                        <c:v>Gas Marketing Agreements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CYMRIC 1MW ORC</c:v>
                      </c:pt>
                      <c:pt idx="69">
                        <c:v>Acquisition</c:v>
                      </c:pt>
                      <c:pt idx="70">
                        <c:v>Site Selection/Survey/Permitting</c:v>
                      </c:pt>
                      <c:pt idx="71">
                        <c:v>Construct Pad and Civil Works</c:v>
                      </c:pt>
                      <c:pt idx="72">
                        <c:v>Installation, Repairs &amp; Refurbishment</c:v>
                      </c:pt>
                      <c:pt idx="73">
                        <c:v>Testing &amp; Commissioning</c:v>
                      </c:pt>
                      <c:pt idx="74">
                        <c:v>Transmission Design &amp; Integration Plan</c:v>
                      </c:pt>
                      <c:pt idx="75">
                        <c:v>SUA &amp; Damages</c:v>
                      </c:pt>
                      <c:pt idx="76">
                        <c:v>Transmission Line Construction</c:v>
                      </c:pt>
                      <c:pt idx="77">
                        <c:v>Connection/Integration</c:v>
                      </c:pt>
                      <c:pt idx="78">
                        <c:v>Power Delivery &amp; Sales</c:v>
                      </c:pt>
                      <c:pt idx="79">
                        <c:v>0</c:v>
                      </c:pt>
                      <c:pt idx="80">
                        <c:v>PHASE II DEVELOPMENT</c:v>
                      </c:pt>
                      <c:pt idx="81">
                        <c:v>OCTG Order</c:v>
                      </c:pt>
                      <c:pt idx="82">
                        <c:v>Wellhead Order</c:v>
                      </c:pt>
                      <c:pt idx="83">
                        <c:v>Land/Lease</c:v>
                      </c:pt>
                      <c:pt idx="84">
                        <c:v>SUA &amp; Damages</c:v>
                      </c:pt>
                      <c:pt idx="85">
                        <c:v>Permitting</c:v>
                      </c:pt>
                      <c:pt idx="86">
                        <c:v>Pad Construction</c:v>
                      </c:pt>
                      <c:pt idx="87">
                        <c:v>Conductor - WO1 P022, P032, N042, N052</c:v>
                      </c:pt>
                      <c:pt idx="88">
                        <c:v>D&amp;C WO1 P022</c:v>
                      </c:pt>
                      <c:pt idx="89">
                        <c:v>Equip P022</c:v>
                      </c:pt>
                      <c:pt idx="90">
                        <c:v>D&amp;C WO1 P032</c:v>
                      </c:pt>
                      <c:pt idx="91">
                        <c:v>Equip P032</c:v>
                      </c:pt>
                      <c:pt idx="92">
                        <c:v>D&amp;C WO1 N042</c:v>
                      </c:pt>
                      <c:pt idx="93">
                        <c:v>Equip N042</c:v>
                      </c:pt>
                      <c:pt idx="94">
                        <c:v>D&amp;C WO1 N052</c:v>
                      </c:pt>
                      <c:pt idx="95">
                        <c:v>Equip N052</c:v>
                      </c:pt>
                      <c:pt idx="96">
                        <c:v>Pad Construction</c:v>
                      </c:pt>
                      <c:pt idx="97">
                        <c:v>Conductor - WO1 P062, P072, N082, N092</c:v>
                      </c:pt>
                      <c:pt idx="98">
                        <c:v>D&amp;C WO1 P062</c:v>
                      </c:pt>
                      <c:pt idx="99">
                        <c:v>Equip P062</c:v>
                      </c:pt>
                      <c:pt idx="100">
                        <c:v>D&amp;C WO1 P072</c:v>
                      </c:pt>
                      <c:pt idx="101">
                        <c:v>Equip P072</c:v>
                      </c:pt>
                      <c:pt idx="102">
                        <c:v>D&amp;C WO1 N082</c:v>
                      </c:pt>
                      <c:pt idx="103">
                        <c:v>Equip N082</c:v>
                      </c:pt>
                      <c:pt idx="104">
                        <c:v>D&amp;C WO1 N092</c:v>
                      </c:pt>
                      <c:pt idx="105">
                        <c:v>Equip N092</c:v>
                      </c:pt>
                      <c:pt idx="106">
                        <c:v>Pad Construction</c:v>
                      </c:pt>
                      <c:pt idx="107">
                        <c:v>Conductor - WO1 N101, P111, N121</c:v>
                      </c:pt>
                      <c:pt idx="108">
                        <c:v>D&amp;C WO1 N101</c:v>
                      </c:pt>
                      <c:pt idx="109">
                        <c:v>Equip N101</c:v>
                      </c:pt>
                      <c:pt idx="110">
                        <c:v>D&amp;C WO1 P111</c:v>
                      </c:pt>
                      <c:pt idx="111">
                        <c:v>Equip P111</c:v>
                      </c:pt>
                      <c:pt idx="112">
                        <c:v>D&amp;C WO1 N121</c:v>
                      </c:pt>
                      <c:pt idx="113">
                        <c:v>Equip N121</c:v>
                      </c:pt>
                      <c:pt idx="114">
                        <c:v>0</c:v>
                      </c:pt>
                      <c:pt idx="115">
                        <c:v>MIDSTREAM CONSTRUCTION</c:v>
                      </c:pt>
                      <c:pt idx="116">
                        <c:v>W&amp;G Trunk Lines (3)</c:v>
                      </c:pt>
                      <c:pt idx="117">
                        <c:v>0</c:v>
                      </c:pt>
                      <c:pt idx="118">
                        <c:v>WATER OAK PLANT 1 (20MW)</c:v>
                      </c:pt>
                      <c:pt idx="119">
                        <c:v>RFP</c:v>
                      </c:pt>
                      <c:pt idx="120">
                        <c:v>Permitting</c:v>
                      </c:pt>
                      <c:pt idx="121">
                        <c:v>Preliminary Design</c:v>
                      </c:pt>
                      <c:pt idx="122">
                        <c:v>FEED</c:v>
                      </c:pt>
                      <c:pt idx="123">
                        <c:v>Fabrication</c:v>
                      </c:pt>
                      <c:pt idx="124">
                        <c:v>Mobilization</c:v>
                      </c:pt>
                      <c:pt idx="125">
                        <c:v>Construction</c:v>
                      </c:pt>
                      <c:pt idx="126">
                        <c:v>Installation</c:v>
                      </c:pt>
                      <c:pt idx="127">
                        <c:v>Commisioning</c:v>
                      </c:pt>
                      <c:pt idx="128">
                        <c:v>Transmission Design &amp; Integration Plan</c:v>
                      </c:pt>
                      <c:pt idx="129">
                        <c:v>Transmission Line Construction</c:v>
                      </c:pt>
                      <c:pt idx="130">
                        <c:v>Connection/Integration</c:v>
                      </c:pt>
                      <c:pt idx="131">
                        <c:v>Power Delivery &amp; Sales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Modeler!$P$7:$P$150</c15:sqref>
                        </c15:formulaRef>
                      </c:ext>
                    </c:extLst>
                    <c:numCache>
                      <c:formatCode>General</c:formatCode>
                      <c:ptCount val="14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038D-4DAC-A273-7C461DED7914}"/>
                  </c:ext>
                </c:extLst>
              </c15:ser>
            </c15:filteredBarSeries>
            <c15:filteredBarSeries>
              <c15:ser>
                <c:idx val="4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Modeler!$Q$4</c15:sqref>
                        </c15:formulaRef>
                      </c:ext>
                    </c:extLst>
                    <c:strCache>
                      <c:ptCount val="1"/>
                      <c:pt idx="0">
                        <c:v>DT Polish</c:v>
                      </c:pt>
                    </c:strCache>
                  </c:strRef>
                </c:tx>
                <c:spPr>
                  <a:pattFill prst="smConfetti">
                    <a:fgClr>
                      <a:srgbClr val="FFC000"/>
                    </a:fgClr>
                    <a:bgClr>
                      <a:schemeClr val="bg1"/>
                    </a:bgClr>
                  </a:pattFill>
                  <a:ln w="3175">
                    <a:solidFill>
                      <a:schemeClr val="tx1"/>
                    </a:solidFill>
                  </a:ln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Modeler!$C$7:$C$150</c15:sqref>
                        </c15:formulaRef>
                      </c:ext>
                    </c:extLst>
                    <c:strCache>
                      <c:ptCount val="144"/>
                      <c:pt idx="0">
                        <c:v>DATA GATHERING</c:v>
                      </c:pt>
                      <c:pt idx="1">
                        <c:v>Seismic Acquisition / Interpretation</c:v>
                      </c:pt>
                      <c:pt idx="2">
                        <c:v>Geologic Model</c:v>
                      </c:pt>
                      <c:pt idx="3">
                        <c:v>Reservoir Model</c:v>
                      </c:pt>
                      <c:pt idx="4">
                        <c:v>- Well Spacing/Temp/Rate Model - 20MW</c:v>
                      </c:pt>
                      <c:pt idx="5">
                        <c:v>- 20MW Full Simulation</c:v>
                      </c:pt>
                      <c:pt idx="6">
                        <c:v>- 20MW Development Plan</c:v>
                      </c:pt>
                      <c:pt idx="7">
                        <c:v>Reservoir Test Analysis - Pure #1</c:v>
                      </c:pt>
                      <c:pt idx="8">
                        <c:v>Core Analysis - Water Oak #1-1PV</c:v>
                      </c:pt>
                      <c:pt idx="9">
                        <c:v>Reservoir Test Analysis - Water Oak #1 - 1PV</c:v>
                      </c:pt>
                      <c:pt idx="10">
                        <c:v>0</c:v>
                      </c:pt>
                      <c:pt idx="11">
                        <c:v>PURE #1 ACTIVITIES</c:v>
                      </c:pt>
                      <c:pt idx="12">
                        <c:v>Acquisition</c:v>
                      </c:pt>
                      <c:pt idx="13">
                        <c:v>SUA &amp; Damages</c:v>
                      </c:pt>
                      <c:pt idx="14">
                        <c:v>Surface Site Prep, Facilities Repair &amp; Gas Mktg</c:v>
                      </c:pt>
                      <c:pt idx="15">
                        <c:v>Workover/Re-Entry</c:v>
                      </c:pt>
                      <c:pt idx="16">
                        <c:v>Flow Test</c:v>
                      </c:pt>
                      <c:pt idx="17">
                        <c:v>Conversion Workover - Ops Planning</c:v>
                      </c:pt>
                      <c:pt idx="18">
                        <c:v>Permitting for Conversion</c:v>
                      </c:pt>
                      <c:pt idx="19">
                        <c:v>Conversion Workover</c:v>
                      </c:pt>
                      <c:pt idx="20">
                        <c:v>0</c:v>
                      </c:pt>
                      <c:pt idx="21">
                        <c:v>PURE #1D ACTIVITIES</c:v>
                      </c:pt>
                      <c:pt idx="22">
                        <c:v>Acquisition</c:v>
                      </c:pt>
                      <c:pt idx="23">
                        <c:v>Surface Site Prep, Facilities Repair &amp; Injection Testing</c:v>
                      </c:pt>
                      <c:pt idx="24">
                        <c:v>Disposal Operations</c:v>
                      </c:pt>
                      <c:pt idx="25">
                        <c:v>Surface Equipment Removal</c:v>
                      </c:pt>
                      <c:pt idx="26">
                        <c:v>0</c:v>
                      </c:pt>
                      <c:pt idx="27">
                        <c:v>WATER OAK 1 P011CR</c:v>
                      </c:pt>
                      <c:pt idx="28">
                        <c:v>OCTG Order</c:v>
                      </c:pt>
                      <c:pt idx="29">
                        <c:v>Wellhead Order</c:v>
                      </c:pt>
                      <c:pt idx="30">
                        <c:v>Land Work, SUA &amp; Damages</c:v>
                      </c:pt>
                      <c:pt idx="31">
                        <c:v>Environmental &amp; Permitting</c:v>
                      </c:pt>
                      <c:pt idx="32">
                        <c:v>Pad Construction &amp; Conductor</c:v>
                      </c:pt>
                      <c:pt idx="33">
                        <c:v>Final Drill Plan and DWOP</c:v>
                      </c:pt>
                      <c:pt idx="34">
                        <c:v>Drill to core point</c:v>
                      </c:pt>
                      <c:pt idx="35">
                        <c:v>Core, Log &amp; Run Pipe</c:v>
                      </c:pt>
                      <c:pt idx="36">
                        <c:v>Wait on data processing for log &amp; core</c:v>
                      </c:pt>
                      <c:pt idx="37">
                        <c:v>Completion Planning &amp; CWOP</c:v>
                      </c:pt>
                      <c:pt idx="38">
                        <c:v>Completion Operations</c:v>
                      </c:pt>
                      <c:pt idx="39">
                        <c:v>Perforate and DFIT's (5 intervals)</c:v>
                      </c:pt>
                      <c:pt idx="40">
                        <c:v>Set Packer &amp; Tube Up</c:v>
                      </c:pt>
                      <c:pt idx="41">
                        <c:v>Flow Test</c:v>
                      </c:pt>
                      <c:pt idx="42">
                        <c:v>PDD &amp; PBU</c:v>
                      </c:pt>
                      <c:pt idx="43">
                        <c:v>Turn in Line</c:v>
                      </c:pt>
                      <c:pt idx="44">
                        <c:v>0</c:v>
                      </c:pt>
                      <c:pt idx="45">
                        <c:v>WATER OAK 1 D021</c:v>
                      </c:pt>
                      <c:pt idx="46">
                        <c:v>OCTG Order</c:v>
                      </c:pt>
                      <c:pt idx="47">
                        <c:v>Wellhead Order</c:v>
                      </c:pt>
                      <c:pt idx="48">
                        <c:v>Land Work, SUA &amp; Damages</c:v>
                      </c:pt>
                      <c:pt idx="49">
                        <c:v>Permitting &amp; Follow-up notifications</c:v>
                      </c:pt>
                      <c:pt idx="50">
                        <c:v>Pad Construction &amp; Conductor</c:v>
                      </c:pt>
                      <c:pt idx="51">
                        <c:v>Final Drill Plan and DWOP</c:v>
                      </c:pt>
                      <c:pt idx="52">
                        <c:v>Drill to TD</c:v>
                      </c:pt>
                      <c:pt idx="53">
                        <c:v>Log &amp; Run pipe</c:v>
                      </c:pt>
                      <c:pt idx="54">
                        <c:v>Completion Planning &amp; CWOP</c:v>
                      </c:pt>
                      <c:pt idx="55">
                        <c:v>Completion Operations</c:v>
                      </c:pt>
                      <c:pt idx="56">
                        <c:v>Perforate and DFIT's (5 intervals)</c:v>
                      </c:pt>
                      <c:pt idx="57">
                        <c:v>Set Packer &amp; Tube Up</c:v>
                      </c:pt>
                      <c:pt idx="58">
                        <c:v>Put well in service</c:v>
                      </c:pt>
                      <c:pt idx="59">
                        <c:v>0</c:v>
                      </c:pt>
                      <c:pt idx="60">
                        <c:v>FACILITIES CONSTRUCTION</c:v>
                      </c:pt>
                      <c:pt idx="61">
                        <c:v>Design Facilities</c:v>
                      </c:pt>
                      <c:pt idx="62">
                        <c:v>Order Equipment</c:v>
                      </c:pt>
                      <c:pt idx="63">
                        <c:v>Equip new wells</c:v>
                      </c:pt>
                      <c:pt idx="64">
                        <c:v>W/G Production and Injection Line Installation</c:v>
                      </c:pt>
                      <c:pt idx="65">
                        <c:v>Gas Marketing Agreements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CYMRIC 1MW ORC</c:v>
                      </c:pt>
                      <c:pt idx="69">
                        <c:v>Acquisition</c:v>
                      </c:pt>
                      <c:pt idx="70">
                        <c:v>Site Selection/Survey/Permitting</c:v>
                      </c:pt>
                      <c:pt idx="71">
                        <c:v>Construct Pad and Civil Works</c:v>
                      </c:pt>
                      <c:pt idx="72">
                        <c:v>Installation, Repairs &amp; Refurbishment</c:v>
                      </c:pt>
                      <c:pt idx="73">
                        <c:v>Testing &amp; Commissioning</c:v>
                      </c:pt>
                      <c:pt idx="74">
                        <c:v>Transmission Design &amp; Integration Plan</c:v>
                      </c:pt>
                      <c:pt idx="75">
                        <c:v>SUA &amp; Damages</c:v>
                      </c:pt>
                      <c:pt idx="76">
                        <c:v>Transmission Line Construction</c:v>
                      </c:pt>
                      <c:pt idx="77">
                        <c:v>Connection/Integration</c:v>
                      </c:pt>
                      <c:pt idx="78">
                        <c:v>Power Delivery &amp; Sales</c:v>
                      </c:pt>
                      <c:pt idx="79">
                        <c:v>0</c:v>
                      </c:pt>
                      <c:pt idx="80">
                        <c:v>PHASE II DEVELOPMENT</c:v>
                      </c:pt>
                      <c:pt idx="81">
                        <c:v>OCTG Order</c:v>
                      </c:pt>
                      <c:pt idx="82">
                        <c:v>Wellhead Order</c:v>
                      </c:pt>
                      <c:pt idx="83">
                        <c:v>Land/Lease</c:v>
                      </c:pt>
                      <c:pt idx="84">
                        <c:v>SUA &amp; Damages</c:v>
                      </c:pt>
                      <c:pt idx="85">
                        <c:v>Permitting</c:v>
                      </c:pt>
                      <c:pt idx="86">
                        <c:v>Pad Construction</c:v>
                      </c:pt>
                      <c:pt idx="87">
                        <c:v>Conductor - WO1 P022, P032, N042, N052</c:v>
                      </c:pt>
                      <c:pt idx="88">
                        <c:v>D&amp;C WO1 P022</c:v>
                      </c:pt>
                      <c:pt idx="89">
                        <c:v>Equip P022</c:v>
                      </c:pt>
                      <c:pt idx="90">
                        <c:v>D&amp;C WO1 P032</c:v>
                      </c:pt>
                      <c:pt idx="91">
                        <c:v>Equip P032</c:v>
                      </c:pt>
                      <c:pt idx="92">
                        <c:v>D&amp;C WO1 N042</c:v>
                      </c:pt>
                      <c:pt idx="93">
                        <c:v>Equip N042</c:v>
                      </c:pt>
                      <c:pt idx="94">
                        <c:v>D&amp;C WO1 N052</c:v>
                      </c:pt>
                      <c:pt idx="95">
                        <c:v>Equip N052</c:v>
                      </c:pt>
                      <c:pt idx="96">
                        <c:v>Pad Construction</c:v>
                      </c:pt>
                      <c:pt idx="97">
                        <c:v>Conductor - WO1 P062, P072, N082, N092</c:v>
                      </c:pt>
                      <c:pt idx="98">
                        <c:v>D&amp;C WO1 P062</c:v>
                      </c:pt>
                      <c:pt idx="99">
                        <c:v>Equip P062</c:v>
                      </c:pt>
                      <c:pt idx="100">
                        <c:v>D&amp;C WO1 P072</c:v>
                      </c:pt>
                      <c:pt idx="101">
                        <c:v>Equip P072</c:v>
                      </c:pt>
                      <c:pt idx="102">
                        <c:v>D&amp;C WO1 N082</c:v>
                      </c:pt>
                      <c:pt idx="103">
                        <c:v>Equip N082</c:v>
                      </c:pt>
                      <c:pt idx="104">
                        <c:v>D&amp;C WO1 N092</c:v>
                      </c:pt>
                      <c:pt idx="105">
                        <c:v>Equip N092</c:v>
                      </c:pt>
                      <c:pt idx="106">
                        <c:v>Pad Construction</c:v>
                      </c:pt>
                      <c:pt idx="107">
                        <c:v>Conductor - WO1 N101, P111, N121</c:v>
                      </c:pt>
                      <c:pt idx="108">
                        <c:v>D&amp;C WO1 N101</c:v>
                      </c:pt>
                      <c:pt idx="109">
                        <c:v>Equip N101</c:v>
                      </c:pt>
                      <c:pt idx="110">
                        <c:v>D&amp;C WO1 P111</c:v>
                      </c:pt>
                      <c:pt idx="111">
                        <c:v>Equip P111</c:v>
                      </c:pt>
                      <c:pt idx="112">
                        <c:v>D&amp;C WO1 N121</c:v>
                      </c:pt>
                      <c:pt idx="113">
                        <c:v>Equip N121</c:v>
                      </c:pt>
                      <c:pt idx="114">
                        <c:v>0</c:v>
                      </c:pt>
                      <c:pt idx="115">
                        <c:v>MIDSTREAM CONSTRUCTION</c:v>
                      </c:pt>
                      <c:pt idx="116">
                        <c:v>W&amp;G Trunk Lines (3)</c:v>
                      </c:pt>
                      <c:pt idx="117">
                        <c:v>0</c:v>
                      </c:pt>
                      <c:pt idx="118">
                        <c:v>WATER OAK PLANT 1 (20MW)</c:v>
                      </c:pt>
                      <c:pt idx="119">
                        <c:v>RFP</c:v>
                      </c:pt>
                      <c:pt idx="120">
                        <c:v>Permitting</c:v>
                      </c:pt>
                      <c:pt idx="121">
                        <c:v>Preliminary Design</c:v>
                      </c:pt>
                      <c:pt idx="122">
                        <c:v>FEED</c:v>
                      </c:pt>
                      <c:pt idx="123">
                        <c:v>Fabrication</c:v>
                      </c:pt>
                      <c:pt idx="124">
                        <c:v>Mobilization</c:v>
                      </c:pt>
                      <c:pt idx="125">
                        <c:v>Construction</c:v>
                      </c:pt>
                      <c:pt idx="126">
                        <c:v>Installation</c:v>
                      </c:pt>
                      <c:pt idx="127">
                        <c:v>Commisioning</c:v>
                      </c:pt>
                      <c:pt idx="128">
                        <c:v>Transmission Design &amp; Integration Plan</c:v>
                      </c:pt>
                      <c:pt idx="129">
                        <c:v>Transmission Line Construction</c:v>
                      </c:pt>
                      <c:pt idx="130">
                        <c:v>Connection/Integration</c:v>
                      </c:pt>
                      <c:pt idx="131">
                        <c:v>Power Delivery &amp; Sales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Modeler!$Q$7:$Q$150</c15:sqref>
                        </c15:formulaRef>
                      </c:ext>
                    </c:extLst>
                    <c:numCache>
                      <c:formatCode>#,##0</c:formatCode>
                      <c:ptCount val="14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038D-4DAC-A273-7C461DED7914}"/>
                  </c:ext>
                </c:extLst>
              </c15:ser>
            </c15:filteredBarSeries>
            <c15:filteredBarSeries>
              <c15:ser>
                <c:idx val="5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Modeler!$T$4</c15:sqref>
                        </c15:formulaRef>
                      </c:ext>
                    </c:extLst>
                    <c:strCache>
                      <c:ptCount val="1"/>
                      <c:pt idx="0">
                        <c:v>Run</c:v>
                      </c:pt>
                    </c:strCache>
                  </c:strRef>
                </c:tx>
                <c:spPr>
                  <a:solidFill>
                    <a:srgbClr val="FFC000"/>
                  </a:solidFill>
                  <a:ln w="3175">
                    <a:solidFill>
                      <a:srgbClr val="000000"/>
                    </a:solidFill>
                    <a:prstDash val="solid"/>
                  </a:ln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Modeler!$C$7:$C$150</c15:sqref>
                        </c15:formulaRef>
                      </c:ext>
                    </c:extLst>
                    <c:strCache>
                      <c:ptCount val="144"/>
                      <c:pt idx="0">
                        <c:v>DATA GATHERING</c:v>
                      </c:pt>
                      <c:pt idx="1">
                        <c:v>Seismic Acquisition / Interpretation</c:v>
                      </c:pt>
                      <c:pt idx="2">
                        <c:v>Geologic Model</c:v>
                      </c:pt>
                      <c:pt idx="3">
                        <c:v>Reservoir Model</c:v>
                      </c:pt>
                      <c:pt idx="4">
                        <c:v>- Well Spacing/Temp/Rate Model - 20MW</c:v>
                      </c:pt>
                      <c:pt idx="5">
                        <c:v>- 20MW Full Simulation</c:v>
                      </c:pt>
                      <c:pt idx="6">
                        <c:v>- 20MW Development Plan</c:v>
                      </c:pt>
                      <c:pt idx="7">
                        <c:v>Reservoir Test Analysis - Pure #1</c:v>
                      </c:pt>
                      <c:pt idx="8">
                        <c:v>Core Analysis - Water Oak #1-1PV</c:v>
                      </c:pt>
                      <c:pt idx="9">
                        <c:v>Reservoir Test Analysis - Water Oak #1 - 1PV</c:v>
                      </c:pt>
                      <c:pt idx="10">
                        <c:v>0</c:v>
                      </c:pt>
                      <c:pt idx="11">
                        <c:v>PURE #1 ACTIVITIES</c:v>
                      </c:pt>
                      <c:pt idx="12">
                        <c:v>Acquisition</c:v>
                      </c:pt>
                      <c:pt idx="13">
                        <c:v>SUA &amp; Damages</c:v>
                      </c:pt>
                      <c:pt idx="14">
                        <c:v>Surface Site Prep, Facilities Repair &amp; Gas Mktg</c:v>
                      </c:pt>
                      <c:pt idx="15">
                        <c:v>Workover/Re-Entry</c:v>
                      </c:pt>
                      <c:pt idx="16">
                        <c:v>Flow Test</c:v>
                      </c:pt>
                      <c:pt idx="17">
                        <c:v>Conversion Workover - Ops Planning</c:v>
                      </c:pt>
                      <c:pt idx="18">
                        <c:v>Permitting for Conversion</c:v>
                      </c:pt>
                      <c:pt idx="19">
                        <c:v>Conversion Workover</c:v>
                      </c:pt>
                      <c:pt idx="20">
                        <c:v>0</c:v>
                      </c:pt>
                      <c:pt idx="21">
                        <c:v>PURE #1D ACTIVITIES</c:v>
                      </c:pt>
                      <c:pt idx="22">
                        <c:v>Acquisition</c:v>
                      </c:pt>
                      <c:pt idx="23">
                        <c:v>Surface Site Prep, Facilities Repair &amp; Injection Testing</c:v>
                      </c:pt>
                      <c:pt idx="24">
                        <c:v>Disposal Operations</c:v>
                      </c:pt>
                      <c:pt idx="25">
                        <c:v>Surface Equipment Removal</c:v>
                      </c:pt>
                      <c:pt idx="26">
                        <c:v>0</c:v>
                      </c:pt>
                      <c:pt idx="27">
                        <c:v>WATER OAK 1 P011CR</c:v>
                      </c:pt>
                      <c:pt idx="28">
                        <c:v>OCTG Order</c:v>
                      </c:pt>
                      <c:pt idx="29">
                        <c:v>Wellhead Order</c:v>
                      </c:pt>
                      <c:pt idx="30">
                        <c:v>Land Work, SUA &amp; Damages</c:v>
                      </c:pt>
                      <c:pt idx="31">
                        <c:v>Environmental &amp; Permitting</c:v>
                      </c:pt>
                      <c:pt idx="32">
                        <c:v>Pad Construction &amp; Conductor</c:v>
                      </c:pt>
                      <c:pt idx="33">
                        <c:v>Final Drill Plan and DWOP</c:v>
                      </c:pt>
                      <c:pt idx="34">
                        <c:v>Drill to core point</c:v>
                      </c:pt>
                      <c:pt idx="35">
                        <c:v>Core, Log &amp; Run Pipe</c:v>
                      </c:pt>
                      <c:pt idx="36">
                        <c:v>Wait on data processing for log &amp; core</c:v>
                      </c:pt>
                      <c:pt idx="37">
                        <c:v>Completion Planning &amp; CWOP</c:v>
                      </c:pt>
                      <c:pt idx="38">
                        <c:v>Completion Operations</c:v>
                      </c:pt>
                      <c:pt idx="39">
                        <c:v>Perforate and DFIT's (5 intervals)</c:v>
                      </c:pt>
                      <c:pt idx="40">
                        <c:v>Set Packer &amp; Tube Up</c:v>
                      </c:pt>
                      <c:pt idx="41">
                        <c:v>Flow Test</c:v>
                      </c:pt>
                      <c:pt idx="42">
                        <c:v>PDD &amp; PBU</c:v>
                      </c:pt>
                      <c:pt idx="43">
                        <c:v>Turn in Line</c:v>
                      </c:pt>
                      <c:pt idx="44">
                        <c:v>0</c:v>
                      </c:pt>
                      <c:pt idx="45">
                        <c:v>WATER OAK 1 D021</c:v>
                      </c:pt>
                      <c:pt idx="46">
                        <c:v>OCTG Order</c:v>
                      </c:pt>
                      <c:pt idx="47">
                        <c:v>Wellhead Order</c:v>
                      </c:pt>
                      <c:pt idx="48">
                        <c:v>Land Work, SUA &amp; Damages</c:v>
                      </c:pt>
                      <c:pt idx="49">
                        <c:v>Permitting &amp; Follow-up notifications</c:v>
                      </c:pt>
                      <c:pt idx="50">
                        <c:v>Pad Construction &amp; Conductor</c:v>
                      </c:pt>
                      <c:pt idx="51">
                        <c:v>Final Drill Plan and DWOP</c:v>
                      </c:pt>
                      <c:pt idx="52">
                        <c:v>Drill to TD</c:v>
                      </c:pt>
                      <c:pt idx="53">
                        <c:v>Log &amp; Run pipe</c:v>
                      </c:pt>
                      <c:pt idx="54">
                        <c:v>Completion Planning &amp; CWOP</c:v>
                      </c:pt>
                      <c:pt idx="55">
                        <c:v>Completion Operations</c:v>
                      </c:pt>
                      <c:pt idx="56">
                        <c:v>Perforate and DFIT's (5 intervals)</c:v>
                      </c:pt>
                      <c:pt idx="57">
                        <c:v>Set Packer &amp; Tube Up</c:v>
                      </c:pt>
                      <c:pt idx="58">
                        <c:v>Put well in service</c:v>
                      </c:pt>
                      <c:pt idx="59">
                        <c:v>0</c:v>
                      </c:pt>
                      <c:pt idx="60">
                        <c:v>FACILITIES CONSTRUCTION</c:v>
                      </c:pt>
                      <c:pt idx="61">
                        <c:v>Design Facilities</c:v>
                      </c:pt>
                      <c:pt idx="62">
                        <c:v>Order Equipment</c:v>
                      </c:pt>
                      <c:pt idx="63">
                        <c:v>Equip new wells</c:v>
                      </c:pt>
                      <c:pt idx="64">
                        <c:v>W/G Production and Injection Line Installation</c:v>
                      </c:pt>
                      <c:pt idx="65">
                        <c:v>Gas Marketing Agreements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CYMRIC 1MW ORC</c:v>
                      </c:pt>
                      <c:pt idx="69">
                        <c:v>Acquisition</c:v>
                      </c:pt>
                      <c:pt idx="70">
                        <c:v>Site Selection/Survey/Permitting</c:v>
                      </c:pt>
                      <c:pt idx="71">
                        <c:v>Construct Pad and Civil Works</c:v>
                      </c:pt>
                      <c:pt idx="72">
                        <c:v>Installation, Repairs &amp; Refurbishment</c:v>
                      </c:pt>
                      <c:pt idx="73">
                        <c:v>Testing &amp; Commissioning</c:v>
                      </c:pt>
                      <c:pt idx="74">
                        <c:v>Transmission Design &amp; Integration Plan</c:v>
                      </c:pt>
                      <c:pt idx="75">
                        <c:v>SUA &amp; Damages</c:v>
                      </c:pt>
                      <c:pt idx="76">
                        <c:v>Transmission Line Construction</c:v>
                      </c:pt>
                      <c:pt idx="77">
                        <c:v>Connection/Integration</c:v>
                      </c:pt>
                      <c:pt idx="78">
                        <c:v>Power Delivery &amp; Sales</c:v>
                      </c:pt>
                      <c:pt idx="79">
                        <c:v>0</c:v>
                      </c:pt>
                      <c:pt idx="80">
                        <c:v>PHASE II DEVELOPMENT</c:v>
                      </c:pt>
                      <c:pt idx="81">
                        <c:v>OCTG Order</c:v>
                      </c:pt>
                      <c:pt idx="82">
                        <c:v>Wellhead Order</c:v>
                      </c:pt>
                      <c:pt idx="83">
                        <c:v>Land/Lease</c:v>
                      </c:pt>
                      <c:pt idx="84">
                        <c:v>SUA &amp; Damages</c:v>
                      </c:pt>
                      <c:pt idx="85">
                        <c:v>Permitting</c:v>
                      </c:pt>
                      <c:pt idx="86">
                        <c:v>Pad Construction</c:v>
                      </c:pt>
                      <c:pt idx="87">
                        <c:v>Conductor - WO1 P022, P032, N042, N052</c:v>
                      </c:pt>
                      <c:pt idx="88">
                        <c:v>D&amp;C WO1 P022</c:v>
                      </c:pt>
                      <c:pt idx="89">
                        <c:v>Equip P022</c:v>
                      </c:pt>
                      <c:pt idx="90">
                        <c:v>D&amp;C WO1 P032</c:v>
                      </c:pt>
                      <c:pt idx="91">
                        <c:v>Equip P032</c:v>
                      </c:pt>
                      <c:pt idx="92">
                        <c:v>D&amp;C WO1 N042</c:v>
                      </c:pt>
                      <c:pt idx="93">
                        <c:v>Equip N042</c:v>
                      </c:pt>
                      <c:pt idx="94">
                        <c:v>D&amp;C WO1 N052</c:v>
                      </c:pt>
                      <c:pt idx="95">
                        <c:v>Equip N052</c:v>
                      </c:pt>
                      <c:pt idx="96">
                        <c:v>Pad Construction</c:v>
                      </c:pt>
                      <c:pt idx="97">
                        <c:v>Conductor - WO1 P062, P072, N082, N092</c:v>
                      </c:pt>
                      <c:pt idx="98">
                        <c:v>D&amp;C WO1 P062</c:v>
                      </c:pt>
                      <c:pt idx="99">
                        <c:v>Equip P062</c:v>
                      </c:pt>
                      <c:pt idx="100">
                        <c:v>D&amp;C WO1 P072</c:v>
                      </c:pt>
                      <c:pt idx="101">
                        <c:v>Equip P072</c:v>
                      </c:pt>
                      <c:pt idx="102">
                        <c:v>D&amp;C WO1 N082</c:v>
                      </c:pt>
                      <c:pt idx="103">
                        <c:v>Equip N082</c:v>
                      </c:pt>
                      <c:pt idx="104">
                        <c:v>D&amp;C WO1 N092</c:v>
                      </c:pt>
                      <c:pt idx="105">
                        <c:v>Equip N092</c:v>
                      </c:pt>
                      <c:pt idx="106">
                        <c:v>Pad Construction</c:v>
                      </c:pt>
                      <c:pt idx="107">
                        <c:v>Conductor - WO1 N101, P111, N121</c:v>
                      </c:pt>
                      <c:pt idx="108">
                        <c:v>D&amp;C WO1 N101</c:v>
                      </c:pt>
                      <c:pt idx="109">
                        <c:v>Equip N101</c:v>
                      </c:pt>
                      <c:pt idx="110">
                        <c:v>D&amp;C WO1 P111</c:v>
                      </c:pt>
                      <c:pt idx="111">
                        <c:v>Equip P111</c:v>
                      </c:pt>
                      <c:pt idx="112">
                        <c:v>D&amp;C WO1 N121</c:v>
                      </c:pt>
                      <c:pt idx="113">
                        <c:v>Equip N121</c:v>
                      </c:pt>
                      <c:pt idx="114">
                        <c:v>0</c:v>
                      </c:pt>
                      <c:pt idx="115">
                        <c:v>MIDSTREAM CONSTRUCTION</c:v>
                      </c:pt>
                      <c:pt idx="116">
                        <c:v>W&amp;G Trunk Lines (3)</c:v>
                      </c:pt>
                      <c:pt idx="117">
                        <c:v>0</c:v>
                      </c:pt>
                      <c:pt idx="118">
                        <c:v>WATER OAK PLANT 1 (20MW)</c:v>
                      </c:pt>
                      <c:pt idx="119">
                        <c:v>RFP</c:v>
                      </c:pt>
                      <c:pt idx="120">
                        <c:v>Permitting</c:v>
                      </c:pt>
                      <c:pt idx="121">
                        <c:v>Preliminary Design</c:v>
                      </c:pt>
                      <c:pt idx="122">
                        <c:v>FEED</c:v>
                      </c:pt>
                      <c:pt idx="123">
                        <c:v>Fabrication</c:v>
                      </c:pt>
                      <c:pt idx="124">
                        <c:v>Mobilization</c:v>
                      </c:pt>
                      <c:pt idx="125">
                        <c:v>Construction</c:v>
                      </c:pt>
                      <c:pt idx="126">
                        <c:v>Installation</c:v>
                      </c:pt>
                      <c:pt idx="127">
                        <c:v>Commisioning</c:v>
                      </c:pt>
                      <c:pt idx="128">
                        <c:v>Transmission Design &amp; Integration Plan</c:v>
                      </c:pt>
                      <c:pt idx="129">
                        <c:v>Transmission Line Construction</c:v>
                      </c:pt>
                      <c:pt idx="130">
                        <c:v>Connection/Integration</c:v>
                      </c:pt>
                      <c:pt idx="131">
                        <c:v>Power Delivery &amp; Sales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Modeler!$U$7:$U$150</c15:sqref>
                        </c15:formulaRef>
                      </c:ext>
                    </c:extLst>
                    <c:numCache>
                      <c:formatCode>General</c:formatCode>
                      <c:ptCount val="14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038D-4DAC-A273-7C461DED7914}"/>
                  </c:ext>
                </c:extLst>
              </c15:ser>
            </c15:filteredBarSeries>
            <c15:filteredBarSeries>
              <c15:ser>
                <c:idx val="6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Modeler!$V$4</c15:sqref>
                        </c15:formulaRef>
                      </c:ext>
                    </c:extLst>
                    <c:strCache>
                      <c:ptCount val="1"/>
                      <c:pt idx="0">
                        <c:v>DT Run</c:v>
                      </c:pt>
                    </c:strCache>
                  </c:strRef>
                </c:tx>
                <c:spPr>
                  <a:pattFill prst="smConfetti">
                    <a:fgClr>
                      <a:srgbClr val="00FFFF"/>
                    </a:fgClr>
                    <a:bgClr>
                      <a:schemeClr val="bg1"/>
                    </a:bgClr>
                  </a:pattFill>
                  <a:ln w="3175">
                    <a:solidFill>
                      <a:schemeClr val="tx1"/>
                    </a:solidFill>
                    <a:prstDash val="solid"/>
                  </a:ln>
                </c:spPr>
                <c:invertIfNegative val="0"/>
                <c:dPt>
                  <c:idx val="0"/>
                  <c:invertIfNegative val="0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5-038D-4DAC-A273-7C461DED7914}"/>
                    </c:ext>
                  </c:extLst>
                </c:dPt>
                <c:dPt>
                  <c:idx val="1"/>
                  <c:invertIfNegative val="0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6-038D-4DAC-A273-7C461DED7914}"/>
                    </c:ext>
                  </c:extLst>
                </c:dPt>
                <c:dPt>
                  <c:idx val="2"/>
                  <c:invertIfNegative val="0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7-038D-4DAC-A273-7C461DED7914}"/>
                    </c:ext>
                  </c:extLst>
                </c:dPt>
                <c:dPt>
                  <c:idx val="3"/>
                  <c:invertIfNegative val="0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8-038D-4DAC-A273-7C461DED7914}"/>
                    </c:ext>
                  </c:extLst>
                </c:dPt>
                <c:dPt>
                  <c:idx val="4"/>
                  <c:invertIfNegative val="0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9-038D-4DAC-A273-7C461DED7914}"/>
                    </c:ext>
                  </c:extLst>
                </c:dPt>
                <c:dPt>
                  <c:idx val="5"/>
                  <c:invertIfNegative val="0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A-038D-4DAC-A273-7C461DED7914}"/>
                    </c:ext>
                  </c:extLst>
                </c:dPt>
                <c:dPt>
                  <c:idx val="6"/>
                  <c:invertIfNegative val="0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B-038D-4DAC-A273-7C461DED7914}"/>
                    </c:ext>
                  </c:extLst>
                </c:dPt>
                <c:dPt>
                  <c:idx val="7"/>
                  <c:invertIfNegative val="0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C-038D-4DAC-A273-7C461DED7914}"/>
                    </c:ext>
                  </c:extLst>
                </c:dPt>
                <c:dPt>
                  <c:idx val="8"/>
                  <c:invertIfNegative val="0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D-038D-4DAC-A273-7C461DED7914}"/>
                    </c:ext>
                  </c:extLst>
                </c:dPt>
                <c:dPt>
                  <c:idx val="9"/>
                  <c:invertIfNegative val="0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E-038D-4DAC-A273-7C461DED7914}"/>
                    </c:ext>
                  </c:extLst>
                </c:dPt>
                <c:dPt>
                  <c:idx val="10"/>
                  <c:invertIfNegative val="0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F-038D-4DAC-A273-7C461DED7914}"/>
                    </c:ext>
                  </c:extLst>
                </c:dPt>
                <c:dPt>
                  <c:idx val="11"/>
                  <c:invertIfNegative val="0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0-038D-4DAC-A273-7C461DED7914}"/>
                    </c:ext>
                  </c:extLst>
                </c:dPt>
                <c:dPt>
                  <c:idx val="12"/>
                  <c:invertIfNegative val="0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1-038D-4DAC-A273-7C461DED7914}"/>
                    </c:ext>
                  </c:extLst>
                </c:dPt>
                <c:dPt>
                  <c:idx val="16"/>
                  <c:invertIfNegative val="0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2-038D-4DAC-A273-7C461DED7914}"/>
                    </c:ext>
                  </c:extLst>
                </c:dPt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Modeler!$C$7:$C$150</c15:sqref>
                        </c15:formulaRef>
                      </c:ext>
                    </c:extLst>
                    <c:strCache>
                      <c:ptCount val="144"/>
                      <c:pt idx="0">
                        <c:v>DATA GATHERING</c:v>
                      </c:pt>
                      <c:pt idx="1">
                        <c:v>Seismic Acquisition / Interpretation</c:v>
                      </c:pt>
                      <c:pt idx="2">
                        <c:v>Geologic Model</c:v>
                      </c:pt>
                      <c:pt idx="3">
                        <c:v>Reservoir Model</c:v>
                      </c:pt>
                      <c:pt idx="4">
                        <c:v>- Well Spacing/Temp/Rate Model - 20MW</c:v>
                      </c:pt>
                      <c:pt idx="5">
                        <c:v>- 20MW Full Simulation</c:v>
                      </c:pt>
                      <c:pt idx="6">
                        <c:v>- 20MW Development Plan</c:v>
                      </c:pt>
                      <c:pt idx="7">
                        <c:v>Reservoir Test Analysis - Pure #1</c:v>
                      </c:pt>
                      <c:pt idx="8">
                        <c:v>Core Analysis - Water Oak #1-1PV</c:v>
                      </c:pt>
                      <c:pt idx="9">
                        <c:v>Reservoir Test Analysis - Water Oak #1 - 1PV</c:v>
                      </c:pt>
                      <c:pt idx="10">
                        <c:v>0</c:v>
                      </c:pt>
                      <c:pt idx="11">
                        <c:v>PURE #1 ACTIVITIES</c:v>
                      </c:pt>
                      <c:pt idx="12">
                        <c:v>Acquisition</c:v>
                      </c:pt>
                      <c:pt idx="13">
                        <c:v>SUA &amp; Damages</c:v>
                      </c:pt>
                      <c:pt idx="14">
                        <c:v>Surface Site Prep, Facilities Repair &amp; Gas Mktg</c:v>
                      </c:pt>
                      <c:pt idx="15">
                        <c:v>Workover/Re-Entry</c:v>
                      </c:pt>
                      <c:pt idx="16">
                        <c:v>Flow Test</c:v>
                      </c:pt>
                      <c:pt idx="17">
                        <c:v>Conversion Workover - Ops Planning</c:v>
                      </c:pt>
                      <c:pt idx="18">
                        <c:v>Permitting for Conversion</c:v>
                      </c:pt>
                      <c:pt idx="19">
                        <c:v>Conversion Workover</c:v>
                      </c:pt>
                      <c:pt idx="20">
                        <c:v>0</c:v>
                      </c:pt>
                      <c:pt idx="21">
                        <c:v>PURE #1D ACTIVITIES</c:v>
                      </c:pt>
                      <c:pt idx="22">
                        <c:v>Acquisition</c:v>
                      </c:pt>
                      <c:pt idx="23">
                        <c:v>Surface Site Prep, Facilities Repair &amp; Injection Testing</c:v>
                      </c:pt>
                      <c:pt idx="24">
                        <c:v>Disposal Operations</c:v>
                      </c:pt>
                      <c:pt idx="25">
                        <c:v>Surface Equipment Removal</c:v>
                      </c:pt>
                      <c:pt idx="26">
                        <c:v>0</c:v>
                      </c:pt>
                      <c:pt idx="27">
                        <c:v>WATER OAK 1 P011CR</c:v>
                      </c:pt>
                      <c:pt idx="28">
                        <c:v>OCTG Order</c:v>
                      </c:pt>
                      <c:pt idx="29">
                        <c:v>Wellhead Order</c:v>
                      </c:pt>
                      <c:pt idx="30">
                        <c:v>Land Work, SUA &amp; Damages</c:v>
                      </c:pt>
                      <c:pt idx="31">
                        <c:v>Environmental &amp; Permitting</c:v>
                      </c:pt>
                      <c:pt idx="32">
                        <c:v>Pad Construction &amp; Conductor</c:v>
                      </c:pt>
                      <c:pt idx="33">
                        <c:v>Final Drill Plan and DWOP</c:v>
                      </c:pt>
                      <c:pt idx="34">
                        <c:v>Drill to core point</c:v>
                      </c:pt>
                      <c:pt idx="35">
                        <c:v>Core, Log &amp; Run Pipe</c:v>
                      </c:pt>
                      <c:pt idx="36">
                        <c:v>Wait on data processing for log &amp; core</c:v>
                      </c:pt>
                      <c:pt idx="37">
                        <c:v>Completion Planning &amp; CWOP</c:v>
                      </c:pt>
                      <c:pt idx="38">
                        <c:v>Completion Operations</c:v>
                      </c:pt>
                      <c:pt idx="39">
                        <c:v>Perforate and DFIT's (5 intervals)</c:v>
                      </c:pt>
                      <c:pt idx="40">
                        <c:v>Set Packer &amp; Tube Up</c:v>
                      </c:pt>
                      <c:pt idx="41">
                        <c:v>Flow Test</c:v>
                      </c:pt>
                      <c:pt idx="42">
                        <c:v>PDD &amp; PBU</c:v>
                      </c:pt>
                      <c:pt idx="43">
                        <c:v>Turn in Line</c:v>
                      </c:pt>
                      <c:pt idx="44">
                        <c:v>0</c:v>
                      </c:pt>
                      <c:pt idx="45">
                        <c:v>WATER OAK 1 D021</c:v>
                      </c:pt>
                      <c:pt idx="46">
                        <c:v>OCTG Order</c:v>
                      </c:pt>
                      <c:pt idx="47">
                        <c:v>Wellhead Order</c:v>
                      </c:pt>
                      <c:pt idx="48">
                        <c:v>Land Work, SUA &amp; Damages</c:v>
                      </c:pt>
                      <c:pt idx="49">
                        <c:v>Permitting &amp; Follow-up notifications</c:v>
                      </c:pt>
                      <c:pt idx="50">
                        <c:v>Pad Construction &amp; Conductor</c:v>
                      </c:pt>
                      <c:pt idx="51">
                        <c:v>Final Drill Plan and DWOP</c:v>
                      </c:pt>
                      <c:pt idx="52">
                        <c:v>Drill to TD</c:v>
                      </c:pt>
                      <c:pt idx="53">
                        <c:v>Log &amp; Run pipe</c:v>
                      </c:pt>
                      <c:pt idx="54">
                        <c:v>Completion Planning &amp; CWOP</c:v>
                      </c:pt>
                      <c:pt idx="55">
                        <c:v>Completion Operations</c:v>
                      </c:pt>
                      <c:pt idx="56">
                        <c:v>Perforate and DFIT's (5 intervals)</c:v>
                      </c:pt>
                      <c:pt idx="57">
                        <c:v>Set Packer &amp; Tube Up</c:v>
                      </c:pt>
                      <c:pt idx="58">
                        <c:v>Put well in service</c:v>
                      </c:pt>
                      <c:pt idx="59">
                        <c:v>0</c:v>
                      </c:pt>
                      <c:pt idx="60">
                        <c:v>FACILITIES CONSTRUCTION</c:v>
                      </c:pt>
                      <c:pt idx="61">
                        <c:v>Design Facilities</c:v>
                      </c:pt>
                      <c:pt idx="62">
                        <c:v>Order Equipment</c:v>
                      </c:pt>
                      <c:pt idx="63">
                        <c:v>Equip new wells</c:v>
                      </c:pt>
                      <c:pt idx="64">
                        <c:v>W/G Production and Injection Line Installation</c:v>
                      </c:pt>
                      <c:pt idx="65">
                        <c:v>Gas Marketing Agreements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CYMRIC 1MW ORC</c:v>
                      </c:pt>
                      <c:pt idx="69">
                        <c:v>Acquisition</c:v>
                      </c:pt>
                      <c:pt idx="70">
                        <c:v>Site Selection/Survey/Permitting</c:v>
                      </c:pt>
                      <c:pt idx="71">
                        <c:v>Construct Pad and Civil Works</c:v>
                      </c:pt>
                      <c:pt idx="72">
                        <c:v>Installation, Repairs &amp; Refurbishment</c:v>
                      </c:pt>
                      <c:pt idx="73">
                        <c:v>Testing &amp; Commissioning</c:v>
                      </c:pt>
                      <c:pt idx="74">
                        <c:v>Transmission Design &amp; Integration Plan</c:v>
                      </c:pt>
                      <c:pt idx="75">
                        <c:v>SUA &amp; Damages</c:v>
                      </c:pt>
                      <c:pt idx="76">
                        <c:v>Transmission Line Construction</c:v>
                      </c:pt>
                      <c:pt idx="77">
                        <c:v>Connection/Integration</c:v>
                      </c:pt>
                      <c:pt idx="78">
                        <c:v>Power Delivery &amp; Sales</c:v>
                      </c:pt>
                      <c:pt idx="79">
                        <c:v>0</c:v>
                      </c:pt>
                      <c:pt idx="80">
                        <c:v>PHASE II DEVELOPMENT</c:v>
                      </c:pt>
                      <c:pt idx="81">
                        <c:v>OCTG Order</c:v>
                      </c:pt>
                      <c:pt idx="82">
                        <c:v>Wellhead Order</c:v>
                      </c:pt>
                      <c:pt idx="83">
                        <c:v>Land/Lease</c:v>
                      </c:pt>
                      <c:pt idx="84">
                        <c:v>SUA &amp; Damages</c:v>
                      </c:pt>
                      <c:pt idx="85">
                        <c:v>Permitting</c:v>
                      </c:pt>
                      <c:pt idx="86">
                        <c:v>Pad Construction</c:v>
                      </c:pt>
                      <c:pt idx="87">
                        <c:v>Conductor - WO1 P022, P032, N042, N052</c:v>
                      </c:pt>
                      <c:pt idx="88">
                        <c:v>D&amp;C WO1 P022</c:v>
                      </c:pt>
                      <c:pt idx="89">
                        <c:v>Equip P022</c:v>
                      </c:pt>
                      <c:pt idx="90">
                        <c:v>D&amp;C WO1 P032</c:v>
                      </c:pt>
                      <c:pt idx="91">
                        <c:v>Equip P032</c:v>
                      </c:pt>
                      <c:pt idx="92">
                        <c:v>D&amp;C WO1 N042</c:v>
                      </c:pt>
                      <c:pt idx="93">
                        <c:v>Equip N042</c:v>
                      </c:pt>
                      <c:pt idx="94">
                        <c:v>D&amp;C WO1 N052</c:v>
                      </c:pt>
                      <c:pt idx="95">
                        <c:v>Equip N052</c:v>
                      </c:pt>
                      <c:pt idx="96">
                        <c:v>Pad Construction</c:v>
                      </c:pt>
                      <c:pt idx="97">
                        <c:v>Conductor - WO1 P062, P072, N082, N092</c:v>
                      </c:pt>
                      <c:pt idx="98">
                        <c:v>D&amp;C WO1 P062</c:v>
                      </c:pt>
                      <c:pt idx="99">
                        <c:v>Equip P062</c:v>
                      </c:pt>
                      <c:pt idx="100">
                        <c:v>D&amp;C WO1 P072</c:v>
                      </c:pt>
                      <c:pt idx="101">
                        <c:v>Equip P072</c:v>
                      </c:pt>
                      <c:pt idx="102">
                        <c:v>D&amp;C WO1 N082</c:v>
                      </c:pt>
                      <c:pt idx="103">
                        <c:v>Equip N082</c:v>
                      </c:pt>
                      <c:pt idx="104">
                        <c:v>D&amp;C WO1 N092</c:v>
                      </c:pt>
                      <c:pt idx="105">
                        <c:v>Equip N092</c:v>
                      </c:pt>
                      <c:pt idx="106">
                        <c:v>Pad Construction</c:v>
                      </c:pt>
                      <c:pt idx="107">
                        <c:v>Conductor - WO1 N101, P111, N121</c:v>
                      </c:pt>
                      <c:pt idx="108">
                        <c:v>D&amp;C WO1 N101</c:v>
                      </c:pt>
                      <c:pt idx="109">
                        <c:v>Equip N101</c:v>
                      </c:pt>
                      <c:pt idx="110">
                        <c:v>D&amp;C WO1 P111</c:v>
                      </c:pt>
                      <c:pt idx="111">
                        <c:v>Equip P111</c:v>
                      </c:pt>
                      <c:pt idx="112">
                        <c:v>D&amp;C WO1 N121</c:v>
                      </c:pt>
                      <c:pt idx="113">
                        <c:v>Equip N121</c:v>
                      </c:pt>
                      <c:pt idx="114">
                        <c:v>0</c:v>
                      </c:pt>
                      <c:pt idx="115">
                        <c:v>MIDSTREAM CONSTRUCTION</c:v>
                      </c:pt>
                      <c:pt idx="116">
                        <c:v>W&amp;G Trunk Lines (3)</c:v>
                      </c:pt>
                      <c:pt idx="117">
                        <c:v>0</c:v>
                      </c:pt>
                      <c:pt idx="118">
                        <c:v>WATER OAK PLANT 1 (20MW)</c:v>
                      </c:pt>
                      <c:pt idx="119">
                        <c:v>RFP</c:v>
                      </c:pt>
                      <c:pt idx="120">
                        <c:v>Permitting</c:v>
                      </c:pt>
                      <c:pt idx="121">
                        <c:v>Preliminary Design</c:v>
                      </c:pt>
                      <c:pt idx="122">
                        <c:v>FEED</c:v>
                      </c:pt>
                      <c:pt idx="123">
                        <c:v>Fabrication</c:v>
                      </c:pt>
                      <c:pt idx="124">
                        <c:v>Mobilization</c:v>
                      </c:pt>
                      <c:pt idx="125">
                        <c:v>Construction</c:v>
                      </c:pt>
                      <c:pt idx="126">
                        <c:v>Installation</c:v>
                      </c:pt>
                      <c:pt idx="127">
                        <c:v>Commisioning</c:v>
                      </c:pt>
                      <c:pt idx="128">
                        <c:v>Transmission Design &amp; Integration Plan</c:v>
                      </c:pt>
                      <c:pt idx="129">
                        <c:v>Transmission Line Construction</c:v>
                      </c:pt>
                      <c:pt idx="130">
                        <c:v>Connection/Integration</c:v>
                      </c:pt>
                      <c:pt idx="131">
                        <c:v>Power Delivery &amp; Sales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Modeler!$V$7:$V$150</c15:sqref>
                        </c15:formulaRef>
                      </c:ext>
                    </c:extLst>
                    <c:numCache>
                      <c:formatCode>General</c:formatCode>
                      <c:ptCount val="144"/>
                      <c:pt idx="0">
                        <c:v>0</c:v>
                      </c:pt>
                      <c:pt idx="1">
                        <c:v>-2031</c:v>
                      </c:pt>
                      <c:pt idx="2">
                        <c:v>0</c:v>
                      </c:pt>
                      <c:pt idx="3">
                        <c:v>-2074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038D-4DAC-A273-7C461DED7914}"/>
                  </c:ext>
                </c:extLst>
              </c15:ser>
            </c15:filteredBarSeries>
            <c15:filteredBarSeries>
              <c15:ser>
                <c:idx val="7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Modeler!$W$4</c15:sqref>
                        </c15:formulaRef>
                      </c:ext>
                    </c:extLst>
                    <c:strCache>
                      <c:ptCount val="1"/>
                      <c:pt idx="0">
                        <c:v>Drill Out</c:v>
                      </c:pt>
                    </c:strCache>
                  </c:strRef>
                </c:tx>
                <c:spPr>
                  <a:solidFill>
                    <a:srgbClr val="00FFFF"/>
                  </a:solidFill>
                  <a:ln w="3175">
                    <a:solidFill>
                      <a:srgbClr val="000000"/>
                    </a:solidFill>
                    <a:prstDash val="solid"/>
                  </a:ln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Modeler!$C$7:$C$150</c15:sqref>
                        </c15:formulaRef>
                      </c:ext>
                    </c:extLst>
                    <c:strCache>
                      <c:ptCount val="144"/>
                      <c:pt idx="0">
                        <c:v>DATA GATHERING</c:v>
                      </c:pt>
                      <c:pt idx="1">
                        <c:v>Seismic Acquisition / Interpretation</c:v>
                      </c:pt>
                      <c:pt idx="2">
                        <c:v>Geologic Model</c:v>
                      </c:pt>
                      <c:pt idx="3">
                        <c:v>Reservoir Model</c:v>
                      </c:pt>
                      <c:pt idx="4">
                        <c:v>- Well Spacing/Temp/Rate Model - 20MW</c:v>
                      </c:pt>
                      <c:pt idx="5">
                        <c:v>- 20MW Full Simulation</c:v>
                      </c:pt>
                      <c:pt idx="6">
                        <c:v>- 20MW Development Plan</c:v>
                      </c:pt>
                      <c:pt idx="7">
                        <c:v>Reservoir Test Analysis - Pure #1</c:v>
                      </c:pt>
                      <c:pt idx="8">
                        <c:v>Core Analysis - Water Oak #1-1PV</c:v>
                      </c:pt>
                      <c:pt idx="9">
                        <c:v>Reservoir Test Analysis - Water Oak #1 - 1PV</c:v>
                      </c:pt>
                      <c:pt idx="10">
                        <c:v>0</c:v>
                      </c:pt>
                      <c:pt idx="11">
                        <c:v>PURE #1 ACTIVITIES</c:v>
                      </c:pt>
                      <c:pt idx="12">
                        <c:v>Acquisition</c:v>
                      </c:pt>
                      <c:pt idx="13">
                        <c:v>SUA &amp; Damages</c:v>
                      </c:pt>
                      <c:pt idx="14">
                        <c:v>Surface Site Prep, Facilities Repair &amp; Gas Mktg</c:v>
                      </c:pt>
                      <c:pt idx="15">
                        <c:v>Workover/Re-Entry</c:v>
                      </c:pt>
                      <c:pt idx="16">
                        <c:v>Flow Test</c:v>
                      </c:pt>
                      <c:pt idx="17">
                        <c:v>Conversion Workover - Ops Planning</c:v>
                      </c:pt>
                      <c:pt idx="18">
                        <c:v>Permitting for Conversion</c:v>
                      </c:pt>
                      <c:pt idx="19">
                        <c:v>Conversion Workover</c:v>
                      </c:pt>
                      <c:pt idx="20">
                        <c:v>0</c:v>
                      </c:pt>
                      <c:pt idx="21">
                        <c:v>PURE #1D ACTIVITIES</c:v>
                      </c:pt>
                      <c:pt idx="22">
                        <c:v>Acquisition</c:v>
                      </c:pt>
                      <c:pt idx="23">
                        <c:v>Surface Site Prep, Facilities Repair &amp; Injection Testing</c:v>
                      </c:pt>
                      <c:pt idx="24">
                        <c:v>Disposal Operations</c:v>
                      </c:pt>
                      <c:pt idx="25">
                        <c:v>Surface Equipment Removal</c:v>
                      </c:pt>
                      <c:pt idx="26">
                        <c:v>0</c:v>
                      </c:pt>
                      <c:pt idx="27">
                        <c:v>WATER OAK 1 P011CR</c:v>
                      </c:pt>
                      <c:pt idx="28">
                        <c:v>OCTG Order</c:v>
                      </c:pt>
                      <c:pt idx="29">
                        <c:v>Wellhead Order</c:v>
                      </c:pt>
                      <c:pt idx="30">
                        <c:v>Land Work, SUA &amp; Damages</c:v>
                      </c:pt>
                      <c:pt idx="31">
                        <c:v>Environmental &amp; Permitting</c:v>
                      </c:pt>
                      <c:pt idx="32">
                        <c:v>Pad Construction &amp; Conductor</c:v>
                      </c:pt>
                      <c:pt idx="33">
                        <c:v>Final Drill Plan and DWOP</c:v>
                      </c:pt>
                      <c:pt idx="34">
                        <c:v>Drill to core point</c:v>
                      </c:pt>
                      <c:pt idx="35">
                        <c:v>Core, Log &amp; Run Pipe</c:v>
                      </c:pt>
                      <c:pt idx="36">
                        <c:v>Wait on data processing for log &amp; core</c:v>
                      </c:pt>
                      <c:pt idx="37">
                        <c:v>Completion Planning &amp; CWOP</c:v>
                      </c:pt>
                      <c:pt idx="38">
                        <c:v>Completion Operations</c:v>
                      </c:pt>
                      <c:pt idx="39">
                        <c:v>Perforate and DFIT's (5 intervals)</c:v>
                      </c:pt>
                      <c:pt idx="40">
                        <c:v>Set Packer &amp; Tube Up</c:v>
                      </c:pt>
                      <c:pt idx="41">
                        <c:v>Flow Test</c:v>
                      </c:pt>
                      <c:pt idx="42">
                        <c:v>PDD &amp; PBU</c:v>
                      </c:pt>
                      <c:pt idx="43">
                        <c:v>Turn in Line</c:v>
                      </c:pt>
                      <c:pt idx="44">
                        <c:v>0</c:v>
                      </c:pt>
                      <c:pt idx="45">
                        <c:v>WATER OAK 1 D021</c:v>
                      </c:pt>
                      <c:pt idx="46">
                        <c:v>OCTG Order</c:v>
                      </c:pt>
                      <c:pt idx="47">
                        <c:v>Wellhead Order</c:v>
                      </c:pt>
                      <c:pt idx="48">
                        <c:v>Land Work, SUA &amp; Damages</c:v>
                      </c:pt>
                      <c:pt idx="49">
                        <c:v>Permitting &amp; Follow-up notifications</c:v>
                      </c:pt>
                      <c:pt idx="50">
                        <c:v>Pad Construction &amp; Conductor</c:v>
                      </c:pt>
                      <c:pt idx="51">
                        <c:v>Final Drill Plan and DWOP</c:v>
                      </c:pt>
                      <c:pt idx="52">
                        <c:v>Drill to TD</c:v>
                      </c:pt>
                      <c:pt idx="53">
                        <c:v>Log &amp; Run pipe</c:v>
                      </c:pt>
                      <c:pt idx="54">
                        <c:v>Completion Planning &amp; CWOP</c:v>
                      </c:pt>
                      <c:pt idx="55">
                        <c:v>Completion Operations</c:v>
                      </c:pt>
                      <c:pt idx="56">
                        <c:v>Perforate and DFIT's (5 intervals)</c:v>
                      </c:pt>
                      <c:pt idx="57">
                        <c:v>Set Packer &amp; Tube Up</c:v>
                      </c:pt>
                      <c:pt idx="58">
                        <c:v>Put well in service</c:v>
                      </c:pt>
                      <c:pt idx="59">
                        <c:v>0</c:v>
                      </c:pt>
                      <c:pt idx="60">
                        <c:v>FACILITIES CONSTRUCTION</c:v>
                      </c:pt>
                      <c:pt idx="61">
                        <c:v>Design Facilities</c:v>
                      </c:pt>
                      <c:pt idx="62">
                        <c:v>Order Equipment</c:v>
                      </c:pt>
                      <c:pt idx="63">
                        <c:v>Equip new wells</c:v>
                      </c:pt>
                      <c:pt idx="64">
                        <c:v>W/G Production and Injection Line Installation</c:v>
                      </c:pt>
                      <c:pt idx="65">
                        <c:v>Gas Marketing Agreements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CYMRIC 1MW ORC</c:v>
                      </c:pt>
                      <c:pt idx="69">
                        <c:v>Acquisition</c:v>
                      </c:pt>
                      <c:pt idx="70">
                        <c:v>Site Selection/Survey/Permitting</c:v>
                      </c:pt>
                      <c:pt idx="71">
                        <c:v>Construct Pad and Civil Works</c:v>
                      </c:pt>
                      <c:pt idx="72">
                        <c:v>Installation, Repairs &amp; Refurbishment</c:v>
                      </c:pt>
                      <c:pt idx="73">
                        <c:v>Testing &amp; Commissioning</c:v>
                      </c:pt>
                      <c:pt idx="74">
                        <c:v>Transmission Design &amp; Integration Plan</c:v>
                      </c:pt>
                      <c:pt idx="75">
                        <c:v>SUA &amp; Damages</c:v>
                      </c:pt>
                      <c:pt idx="76">
                        <c:v>Transmission Line Construction</c:v>
                      </c:pt>
                      <c:pt idx="77">
                        <c:v>Connection/Integration</c:v>
                      </c:pt>
                      <c:pt idx="78">
                        <c:v>Power Delivery &amp; Sales</c:v>
                      </c:pt>
                      <c:pt idx="79">
                        <c:v>0</c:v>
                      </c:pt>
                      <c:pt idx="80">
                        <c:v>PHASE II DEVELOPMENT</c:v>
                      </c:pt>
                      <c:pt idx="81">
                        <c:v>OCTG Order</c:v>
                      </c:pt>
                      <c:pt idx="82">
                        <c:v>Wellhead Order</c:v>
                      </c:pt>
                      <c:pt idx="83">
                        <c:v>Land/Lease</c:v>
                      </c:pt>
                      <c:pt idx="84">
                        <c:v>SUA &amp; Damages</c:v>
                      </c:pt>
                      <c:pt idx="85">
                        <c:v>Permitting</c:v>
                      </c:pt>
                      <c:pt idx="86">
                        <c:v>Pad Construction</c:v>
                      </c:pt>
                      <c:pt idx="87">
                        <c:v>Conductor - WO1 P022, P032, N042, N052</c:v>
                      </c:pt>
                      <c:pt idx="88">
                        <c:v>D&amp;C WO1 P022</c:v>
                      </c:pt>
                      <c:pt idx="89">
                        <c:v>Equip P022</c:v>
                      </c:pt>
                      <c:pt idx="90">
                        <c:v>D&amp;C WO1 P032</c:v>
                      </c:pt>
                      <c:pt idx="91">
                        <c:v>Equip P032</c:v>
                      </c:pt>
                      <c:pt idx="92">
                        <c:v>D&amp;C WO1 N042</c:v>
                      </c:pt>
                      <c:pt idx="93">
                        <c:v>Equip N042</c:v>
                      </c:pt>
                      <c:pt idx="94">
                        <c:v>D&amp;C WO1 N052</c:v>
                      </c:pt>
                      <c:pt idx="95">
                        <c:v>Equip N052</c:v>
                      </c:pt>
                      <c:pt idx="96">
                        <c:v>Pad Construction</c:v>
                      </c:pt>
                      <c:pt idx="97">
                        <c:v>Conductor - WO1 P062, P072, N082, N092</c:v>
                      </c:pt>
                      <c:pt idx="98">
                        <c:v>D&amp;C WO1 P062</c:v>
                      </c:pt>
                      <c:pt idx="99">
                        <c:v>Equip P062</c:v>
                      </c:pt>
                      <c:pt idx="100">
                        <c:v>D&amp;C WO1 P072</c:v>
                      </c:pt>
                      <c:pt idx="101">
                        <c:v>Equip P072</c:v>
                      </c:pt>
                      <c:pt idx="102">
                        <c:v>D&amp;C WO1 N082</c:v>
                      </c:pt>
                      <c:pt idx="103">
                        <c:v>Equip N082</c:v>
                      </c:pt>
                      <c:pt idx="104">
                        <c:v>D&amp;C WO1 N092</c:v>
                      </c:pt>
                      <c:pt idx="105">
                        <c:v>Equip N092</c:v>
                      </c:pt>
                      <c:pt idx="106">
                        <c:v>Pad Construction</c:v>
                      </c:pt>
                      <c:pt idx="107">
                        <c:v>Conductor - WO1 N101, P111, N121</c:v>
                      </c:pt>
                      <c:pt idx="108">
                        <c:v>D&amp;C WO1 N101</c:v>
                      </c:pt>
                      <c:pt idx="109">
                        <c:v>Equip N101</c:v>
                      </c:pt>
                      <c:pt idx="110">
                        <c:v>D&amp;C WO1 P111</c:v>
                      </c:pt>
                      <c:pt idx="111">
                        <c:v>Equip P111</c:v>
                      </c:pt>
                      <c:pt idx="112">
                        <c:v>D&amp;C WO1 N121</c:v>
                      </c:pt>
                      <c:pt idx="113">
                        <c:v>Equip N121</c:v>
                      </c:pt>
                      <c:pt idx="114">
                        <c:v>0</c:v>
                      </c:pt>
                      <c:pt idx="115">
                        <c:v>MIDSTREAM CONSTRUCTION</c:v>
                      </c:pt>
                      <c:pt idx="116">
                        <c:v>W&amp;G Trunk Lines (3)</c:v>
                      </c:pt>
                      <c:pt idx="117">
                        <c:v>0</c:v>
                      </c:pt>
                      <c:pt idx="118">
                        <c:v>WATER OAK PLANT 1 (20MW)</c:v>
                      </c:pt>
                      <c:pt idx="119">
                        <c:v>RFP</c:v>
                      </c:pt>
                      <c:pt idx="120">
                        <c:v>Permitting</c:v>
                      </c:pt>
                      <c:pt idx="121">
                        <c:v>Preliminary Design</c:v>
                      </c:pt>
                      <c:pt idx="122">
                        <c:v>FEED</c:v>
                      </c:pt>
                      <c:pt idx="123">
                        <c:v>Fabrication</c:v>
                      </c:pt>
                      <c:pt idx="124">
                        <c:v>Mobilization</c:v>
                      </c:pt>
                      <c:pt idx="125">
                        <c:v>Construction</c:v>
                      </c:pt>
                      <c:pt idx="126">
                        <c:v>Installation</c:v>
                      </c:pt>
                      <c:pt idx="127">
                        <c:v>Commisioning</c:v>
                      </c:pt>
                      <c:pt idx="128">
                        <c:v>Transmission Design &amp; Integration Plan</c:v>
                      </c:pt>
                      <c:pt idx="129">
                        <c:v>Transmission Line Construction</c:v>
                      </c:pt>
                      <c:pt idx="130">
                        <c:v>Connection/Integration</c:v>
                      </c:pt>
                      <c:pt idx="131">
                        <c:v>Power Delivery &amp; Sales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Modeler!$X$7:$X$150</c15:sqref>
                        </c15:formulaRef>
                      </c:ext>
                    </c:extLst>
                    <c:numCache>
                      <c:formatCode>General</c:formatCode>
                      <c:ptCount val="14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038D-4DAC-A273-7C461DED7914}"/>
                  </c:ext>
                </c:extLst>
              </c15:ser>
            </c15:filteredBarSeries>
            <c15:filteredBarSeries>
              <c15:ser>
                <c:idx val="8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Modeler!$Y$4</c15:sqref>
                        </c15:formulaRef>
                      </c:ext>
                    </c:extLst>
                    <c:strCache>
                      <c:ptCount val="1"/>
                      <c:pt idx="0">
                        <c:v>DT DO</c:v>
                      </c:pt>
                    </c:strCache>
                  </c:strRef>
                </c:tx>
                <c:spPr>
                  <a:pattFill prst="smConfetti">
                    <a:fgClr>
                      <a:srgbClr val="92D050"/>
                    </a:fgClr>
                    <a:bgClr>
                      <a:schemeClr val="bg1"/>
                    </a:bgClr>
                  </a:pattFill>
                  <a:ln w="3175">
                    <a:solidFill>
                      <a:schemeClr val="tx1"/>
                    </a:solidFill>
                    <a:prstDash val="solid"/>
                  </a:ln>
                </c:spPr>
                <c:invertIfNegative val="0"/>
                <c:dPt>
                  <c:idx val="7"/>
                  <c:invertIfNegative val="0"/>
                  <c:bubble3D val="0"/>
                  <c:spPr>
                    <a:pattFill prst="smConfetti">
                      <a:fgClr>
                        <a:srgbClr val="92D050"/>
                      </a:fgClr>
                      <a:bgClr>
                        <a:schemeClr val="bg1"/>
                      </a:bgClr>
                    </a:pattFill>
                    <a:ln w="3175">
                      <a:solidFill>
                        <a:schemeClr val="tx1"/>
                      </a:solidFill>
                    </a:ln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6-038D-4DAC-A273-7C461DED7914}"/>
                    </c:ext>
                  </c:extLst>
                </c:dPt>
                <c:dPt>
                  <c:idx val="18"/>
                  <c:invertIfNegative val="0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7-038D-4DAC-A273-7C461DED7914}"/>
                    </c:ext>
                  </c:extLst>
                </c:dPt>
                <c:dPt>
                  <c:idx val="19"/>
                  <c:invertIfNegative val="0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8-038D-4DAC-A273-7C461DED7914}"/>
                    </c:ext>
                  </c:extLst>
                </c:dPt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Modeler!$C$7:$C$150</c15:sqref>
                        </c15:formulaRef>
                      </c:ext>
                    </c:extLst>
                    <c:strCache>
                      <c:ptCount val="144"/>
                      <c:pt idx="0">
                        <c:v>DATA GATHERING</c:v>
                      </c:pt>
                      <c:pt idx="1">
                        <c:v>Seismic Acquisition / Interpretation</c:v>
                      </c:pt>
                      <c:pt idx="2">
                        <c:v>Geologic Model</c:v>
                      </c:pt>
                      <c:pt idx="3">
                        <c:v>Reservoir Model</c:v>
                      </c:pt>
                      <c:pt idx="4">
                        <c:v>- Well Spacing/Temp/Rate Model - 20MW</c:v>
                      </c:pt>
                      <c:pt idx="5">
                        <c:v>- 20MW Full Simulation</c:v>
                      </c:pt>
                      <c:pt idx="6">
                        <c:v>- 20MW Development Plan</c:v>
                      </c:pt>
                      <c:pt idx="7">
                        <c:v>Reservoir Test Analysis - Pure #1</c:v>
                      </c:pt>
                      <c:pt idx="8">
                        <c:v>Core Analysis - Water Oak #1-1PV</c:v>
                      </c:pt>
                      <c:pt idx="9">
                        <c:v>Reservoir Test Analysis - Water Oak #1 - 1PV</c:v>
                      </c:pt>
                      <c:pt idx="10">
                        <c:v>0</c:v>
                      </c:pt>
                      <c:pt idx="11">
                        <c:v>PURE #1 ACTIVITIES</c:v>
                      </c:pt>
                      <c:pt idx="12">
                        <c:v>Acquisition</c:v>
                      </c:pt>
                      <c:pt idx="13">
                        <c:v>SUA &amp; Damages</c:v>
                      </c:pt>
                      <c:pt idx="14">
                        <c:v>Surface Site Prep, Facilities Repair &amp; Gas Mktg</c:v>
                      </c:pt>
                      <c:pt idx="15">
                        <c:v>Workover/Re-Entry</c:v>
                      </c:pt>
                      <c:pt idx="16">
                        <c:v>Flow Test</c:v>
                      </c:pt>
                      <c:pt idx="17">
                        <c:v>Conversion Workover - Ops Planning</c:v>
                      </c:pt>
                      <c:pt idx="18">
                        <c:v>Permitting for Conversion</c:v>
                      </c:pt>
                      <c:pt idx="19">
                        <c:v>Conversion Workover</c:v>
                      </c:pt>
                      <c:pt idx="20">
                        <c:v>0</c:v>
                      </c:pt>
                      <c:pt idx="21">
                        <c:v>PURE #1D ACTIVITIES</c:v>
                      </c:pt>
                      <c:pt idx="22">
                        <c:v>Acquisition</c:v>
                      </c:pt>
                      <c:pt idx="23">
                        <c:v>Surface Site Prep, Facilities Repair &amp; Injection Testing</c:v>
                      </c:pt>
                      <c:pt idx="24">
                        <c:v>Disposal Operations</c:v>
                      </c:pt>
                      <c:pt idx="25">
                        <c:v>Surface Equipment Removal</c:v>
                      </c:pt>
                      <c:pt idx="26">
                        <c:v>0</c:v>
                      </c:pt>
                      <c:pt idx="27">
                        <c:v>WATER OAK 1 P011CR</c:v>
                      </c:pt>
                      <c:pt idx="28">
                        <c:v>OCTG Order</c:v>
                      </c:pt>
                      <c:pt idx="29">
                        <c:v>Wellhead Order</c:v>
                      </c:pt>
                      <c:pt idx="30">
                        <c:v>Land Work, SUA &amp; Damages</c:v>
                      </c:pt>
                      <c:pt idx="31">
                        <c:v>Environmental &amp; Permitting</c:v>
                      </c:pt>
                      <c:pt idx="32">
                        <c:v>Pad Construction &amp; Conductor</c:v>
                      </c:pt>
                      <c:pt idx="33">
                        <c:v>Final Drill Plan and DWOP</c:v>
                      </c:pt>
                      <c:pt idx="34">
                        <c:v>Drill to core point</c:v>
                      </c:pt>
                      <c:pt idx="35">
                        <c:v>Core, Log &amp; Run Pipe</c:v>
                      </c:pt>
                      <c:pt idx="36">
                        <c:v>Wait on data processing for log &amp; core</c:v>
                      </c:pt>
                      <c:pt idx="37">
                        <c:v>Completion Planning &amp; CWOP</c:v>
                      </c:pt>
                      <c:pt idx="38">
                        <c:v>Completion Operations</c:v>
                      </c:pt>
                      <c:pt idx="39">
                        <c:v>Perforate and DFIT's (5 intervals)</c:v>
                      </c:pt>
                      <c:pt idx="40">
                        <c:v>Set Packer &amp; Tube Up</c:v>
                      </c:pt>
                      <c:pt idx="41">
                        <c:v>Flow Test</c:v>
                      </c:pt>
                      <c:pt idx="42">
                        <c:v>PDD &amp; PBU</c:v>
                      </c:pt>
                      <c:pt idx="43">
                        <c:v>Turn in Line</c:v>
                      </c:pt>
                      <c:pt idx="44">
                        <c:v>0</c:v>
                      </c:pt>
                      <c:pt idx="45">
                        <c:v>WATER OAK 1 D021</c:v>
                      </c:pt>
                      <c:pt idx="46">
                        <c:v>OCTG Order</c:v>
                      </c:pt>
                      <c:pt idx="47">
                        <c:v>Wellhead Order</c:v>
                      </c:pt>
                      <c:pt idx="48">
                        <c:v>Land Work, SUA &amp; Damages</c:v>
                      </c:pt>
                      <c:pt idx="49">
                        <c:v>Permitting &amp; Follow-up notifications</c:v>
                      </c:pt>
                      <c:pt idx="50">
                        <c:v>Pad Construction &amp; Conductor</c:v>
                      </c:pt>
                      <c:pt idx="51">
                        <c:v>Final Drill Plan and DWOP</c:v>
                      </c:pt>
                      <c:pt idx="52">
                        <c:v>Drill to TD</c:v>
                      </c:pt>
                      <c:pt idx="53">
                        <c:v>Log &amp; Run pipe</c:v>
                      </c:pt>
                      <c:pt idx="54">
                        <c:v>Completion Planning &amp; CWOP</c:v>
                      </c:pt>
                      <c:pt idx="55">
                        <c:v>Completion Operations</c:v>
                      </c:pt>
                      <c:pt idx="56">
                        <c:v>Perforate and DFIT's (5 intervals)</c:v>
                      </c:pt>
                      <c:pt idx="57">
                        <c:v>Set Packer &amp; Tube Up</c:v>
                      </c:pt>
                      <c:pt idx="58">
                        <c:v>Put well in service</c:v>
                      </c:pt>
                      <c:pt idx="59">
                        <c:v>0</c:v>
                      </c:pt>
                      <c:pt idx="60">
                        <c:v>FACILITIES CONSTRUCTION</c:v>
                      </c:pt>
                      <c:pt idx="61">
                        <c:v>Design Facilities</c:v>
                      </c:pt>
                      <c:pt idx="62">
                        <c:v>Order Equipment</c:v>
                      </c:pt>
                      <c:pt idx="63">
                        <c:v>Equip new wells</c:v>
                      </c:pt>
                      <c:pt idx="64">
                        <c:v>W/G Production and Injection Line Installation</c:v>
                      </c:pt>
                      <c:pt idx="65">
                        <c:v>Gas Marketing Agreements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CYMRIC 1MW ORC</c:v>
                      </c:pt>
                      <c:pt idx="69">
                        <c:v>Acquisition</c:v>
                      </c:pt>
                      <c:pt idx="70">
                        <c:v>Site Selection/Survey/Permitting</c:v>
                      </c:pt>
                      <c:pt idx="71">
                        <c:v>Construct Pad and Civil Works</c:v>
                      </c:pt>
                      <c:pt idx="72">
                        <c:v>Installation, Repairs &amp; Refurbishment</c:v>
                      </c:pt>
                      <c:pt idx="73">
                        <c:v>Testing &amp; Commissioning</c:v>
                      </c:pt>
                      <c:pt idx="74">
                        <c:v>Transmission Design &amp; Integration Plan</c:v>
                      </c:pt>
                      <c:pt idx="75">
                        <c:v>SUA &amp; Damages</c:v>
                      </c:pt>
                      <c:pt idx="76">
                        <c:v>Transmission Line Construction</c:v>
                      </c:pt>
                      <c:pt idx="77">
                        <c:v>Connection/Integration</c:v>
                      </c:pt>
                      <c:pt idx="78">
                        <c:v>Power Delivery &amp; Sales</c:v>
                      </c:pt>
                      <c:pt idx="79">
                        <c:v>0</c:v>
                      </c:pt>
                      <c:pt idx="80">
                        <c:v>PHASE II DEVELOPMENT</c:v>
                      </c:pt>
                      <c:pt idx="81">
                        <c:v>OCTG Order</c:v>
                      </c:pt>
                      <c:pt idx="82">
                        <c:v>Wellhead Order</c:v>
                      </c:pt>
                      <c:pt idx="83">
                        <c:v>Land/Lease</c:v>
                      </c:pt>
                      <c:pt idx="84">
                        <c:v>SUA &amp; Damages</c:v>
                      </c:pt>
                      <c:pt idx="85">
                        <c:v>Permitting</c:v>
                      </c:pt>
                      <c:pt idx="86">
                        <c:v>Pad Construction</c:v>
                      </c:pt>
                      <c:pt idx="87">
                        <c:v>Conductor - WO1 P022, P032, N042, N052</c:v>
                      </c:pt>
                      <c:pt idx="88">
                        <c:v>D&amp;C WO1 P022</c:v>
                      </c:pt>
                      <c:pt idx="89">
                        <c:v>Equip P022</c:v>
                      </c:pt>
                      <c:pt idx="90">
                        <c:v>D&amp;C WO1 P032</c:v>
                      </c:pt>
                      <c:pt idx="91">
                        <c:v>Equip P032</c:v>
                      </c:pt>
                      <c:pt idx="92">
                        <c:v>D&amp;C WO1 N042</c:v>
                      </c:pt>
                      <c:pt idx="93">
                        <c:v>Equip N042</c:v>
                      </c:pt>
                      <c:pt idx="94">
                        <c:v>D&amp;C WO1 N052</c:v>
                      </c:pt>
                      <c:pt idx="95">
                        <c:v>Equip N052</c:v>
                      </c:pt>
                      <c:pt idx="96">
                        <c:v>Pad Construction</c:v>
                      </c:pt>
                      <c:pt idx="97">
                        <c:v>Conductor - WO1 P062, P072, N082, N092</c:v>
                      </c:pt>
                      <c:pt idx="98">
                        <c:v>D&amp;C WO1 P062</c:v>
                      </c:pt>
                      <c:pt idx="99">
                        <c:v>Equip P062</c:v>
                      </c:pt>
                      <c:pt idx="100">
                        <c:v>D&amp;C WO1 P072</c:v>
                      </c:pt>
                      <c:pt idx="101">
                        <c:v>Equip P072</c:v>
                      </c:pt>
                      <c:pt idx="102">
                        <c:v>D&amp;C WO1 N082</c:v>
                      </c:pt>
                      <c:pt idx="103">
                        <c:v>Equip N082</c:v>
                      </c:pt>
                      <c:pt idx="104">
                        <c:v>D&amp;C WO1 N092</c:v>
                      </c:pt>
                      <c:pt idx="105">
                        <c:v>Equip N092</c:v>
                      </c:pt>
                      <c:pt idx="106">
                        <c:v>Pad Construction</c:v>
                      </c:pt>
                      <c:pt idx="107">
                        <c:v>Conductor - WO1 N101, P111, N121</c:v>
                      </c:pt>
                      <c:pt idx="108">
                        <c:v>D&amp;C WO1 N101</c:v>
                      </c:pt>
                      <c:pt idx="109">
                        <c:v>Equip N101</c:v>
                      </c:pt>
                      <c:pt idx="110">
                        <c:v>D&amp;C WO1 P111</c:v>
                      </c:pt>
                      <c:pt idx="111">
                        <c:v>Equip P111</c:v>
                      </c:pt>
                      <c:pt idx="112">
                        <c:v>D&amp;C WO1 N121</c:v>
                      </c:pt>
                      <c:pt idx="113">
                        <c:v>Equip N121</c:v>
                      </c:pt>
                      <c:pt idx="114">
                        <c:v>0</c:v>
                      </c:pt>
                      <c:pt idx="115">
                        <c:v>MIDSTREAM CONSTRUCTION</c:v>
                      </c:pt>
                      <c:pt idx="116">
                        <c:v>W&amp;G Trunk Lines (3)</c:v>
                      </c:pt>
                      <c:pt idx="117">
                        <c:v>0</c:v>
                      </c:pt>
                      <c:pt idx="118">
                        <c:v>WATER OAK PLANT 1 (20MW)</c:v>
                      </c:pt>
                      <c:pt idx="119">
                        <c:v>RFP</c:v>
                      </c:pt>
                      <c:pt idx="120">
                        <c:v>Permitting</c:v>
                      </c:pt>
                      <c:pt idx="121">
                        <c:v>Preliminary Design</c:v>
                      </c:pt>
                      <c:pt idx="122">
                        <c:v>FEED</c:v>
                      </c:pt>
                      <c:pt idx="123">
                        <c:v>Fabrication</c:v>
                      </c:pt>
                      <c:pt idx="124">
                        <c:v>Mobilization</c:v>
                      </c:pt>
                      <c:pt idx="125">
                        <c:v>Construction</c:v>
                      </c:pt>
                      <c:pt idx="126">
                        <c:v>Installation</c:v>
                      </c:pt>
                      <c:pt idx="127">
                        <c:v>Commisioning</c:v>
                      </c:pt>
                      <c:pt idx="128">
                        <c:v>Transmission Design &amp; Integration Plan</c:v>
                      </c:pt>
                      <c:pt idx="129">
                        <c:v>Transmission Line Construction</c:v>
                      </c:pt>
                      <c:pt idx="130">
                        <c:v>Connection/Integration</c:v>
                      </c:pt>
                      <c:pt idx="131">
                        <c:v>Power Delivery &amp; Sales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Modeler!$Y$7:$Y$150</c15:sqref>
                        </c15:formulaRef>
                      </c:ext>
                    </c:extLst>
                    <c:numCache>
                      <c:formatCode>General</c:formatCode>
                      <c:ptCount val="14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038D-4DAC-A273-7C461DED7914}"/>
                  </c:ext>
                </c:extLst>
              </c15:ser>
            </c15:filteredBarSeries>
            <c15:filteredBarSeries>
              <c15:ser>
                <c:idx val="9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Modeler!$Z$4</c15:sqref>
                        </c15:formulaRef>
                      </c:ext>
                    </c:extLst>
                    <c:strCache>
                      <c:ptCount val="1"/>
                      <c:pt idx="0">
                        <c:v>Frac</c:v>
                      </c:pt>
                    </c:strCache>
                  </c:strRef>
                </c:tx>
                <c:spPr>
                  <a:solidFill>
                    <a:srgbClr val="92D050"/>
                  </a:solidFill>
                  <a:ln w="3175">
                    <a:solidFill>
                      <a:srgbClr val="000000"/>
                    </a:solidFill>
                    <a:prstDash val="solid"/>
                  </a:ln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Modeler!$C$7:$C$150</c15:sqref>
                        </c15:formulaRef>
                      </c:ext>
                    </c:extLst>
                    <c:strCache>
                      <c:ptCount val="144"/>
                      <c:pt idx="0">
                        <c:v>DATA GATHERING</c:v>
                      </c:pt>
                      <c:pt idx="1">
                        <c:v>Seismic Acquisition / Interpretation</c:v>
                      </c:pt>
                      <c:pt idx="2">
                        <c:v>Geologic Model</c:v>
                      </c:pt>
                      <c:pt idx="3">
                        <c:v>Reservoir Model</c:v>
                      </c:pt>
                      <c:pt idx="4">
                        <c:v>- Well Spacing/Temp/Rate Model - 20MW</c:v>
                      </c:pt>
                      <c:pt idx="5">
                        <c:v>- 20MW Full Simulation</c:v>
                      </c:pt>
                      <c:pt idx="6">
                        <c:v>- 20MW Development Plan</c:v>
                      </c:pt>
                      <c:pt idx="7">
                        <c:v>Reservoir Test Analysis - Pure #1</c:v>
                      </c:pt>
                      <c:pt idx="8">
                        <c:v>Core Analysis - Water Oak #1-1PV</c:v>
                      </c:pt>
                      <c:pt idx="9">
                        <c:v>Reservoir Test Analysis - Water Oak #1 - 1PV</c:v>
                      </c:pt>
                      <c:pt idx="10">
                        <c:v>0</c:v>
                      </c:pt>
                      <c:pt idx="11">
                        <c:v>PURE #1 ACTIVITIES</c:v>
                      </c:pt>
                      <c:pt idx="12">
                        <c:v>Acquisition</c:v>
                      </c:pt>
                      <c:pt idx="13">
                        <c:v>SUA &amp; Damages</c:v>
                      </c:pt>
                      <c:pt idx="14">
                        <c:v>Surface Site Prep, Facilities Repair &amp; Gas Mktg</c:v>
                      </c:pt>
                      <c:pt idx="15">
                        <c:v>Workover/Re-Entry</c:v>
                      </c:pt>
                      <c:pt idx="16">
                        <c:v>Flow Test</c:v>
                      </c:pt>
                      <c:pt idx="17">
                        <c:v>Conversion Workover - Ops Planning</c:v>
                      </c:pt>
                      <c:pt idx="18">
                        <c:v>Permitting for Conversion</c:v>
                      </c:pt>
                      <c:pt idx="19">
                        <c:v>Conversion Workover</c:v>
                      </c:pt>
                      <c:pt idx="20">
                        <c:v>0</c:v>
                      </c:pt>
                      <c:pt idx="21">
                        <c:v>PURE #1D ACTIVITIES</c:v>
                      </c:pt>
                      <c:pt idx="22">
                        <c:v>Acquisition</c:v>
                      </c:pt>
                      <c:pt idx="23">
                        <c:v>Surface Site Prep, Facilities Repair &amp; Injection Testing</c:v>
                      </c:pt>
                      <c:pt idx="24">
                        <c:v>Disposal Operations</c:v>
                      </c:pt>
                      <c:pt idx="25">
                        <c:v>Surface Equipment Removal</c:v>
                      </c:pt>
                      <c:pt idx="26">
                        <c:v>0</c:v>
                      </c:pt>
                      <c:pt idx="27">
                        <c:v>WATER OAK 1 P011CR</c:v>
                      </c:pt>
                      <c:pt idx="28">
                        <c:v>OCTG Order</c:v>
                      </c:pt>
                      <c:pt idx="29">
                        <c:v>Wellhead Order</c:v>
                      </c:pt>
                      <c:pt idx="30">
                        <c:v>Land Work, SUA &amp; Damages</c:v>
                      </c:pt>
                      <c:pt idx="31">
                        <c:v>Environmental &amp; Permitting</c:v>
                      </c:pt>
                      <c:pt idx="32">
                        <c:v>Pad Construction &amp; Conductor</c:v>
                      </c:pt>
                      <c:pt idx="33">
                        <c:v>Final Drill Plan and DWOP</c:v>
                      </c:pt>
                      <c:pt idx="34">
                        <c:v>Drill to core point</c:v>
                      </c:pt>
                      <c:pt idx="35">
                        <c:v>Core, Log &amp; Run Pipe</c:v>
                      </c:pt>
                      <c:pt idx="36">
                        <c:v>Wait on data processing for log &amp; core</c:v>
                      </c:pt>
                      <c:pt idx="37">
                        <c:v>Completion Planning &amp; CWOP</c:v>
                      </c:pt>
                      <c:pt idx="38">
                        <c:v>Completion Operations</c:v>
                      </c:pt>
                      <c:pt idx="39">
                        <c:v>Perforate and DFIT's (5 intervals)</c:v>
                      </c:pt>
                      <c:pt idx="40">
                        <c:v>Set Packer &amp; Tube Up</c:v>
                      </c:pt>
                      <c:pt idx="41">
                        <c:v>Flow Test</c:v>
                      </c:pt>
                      <c:pt idx="42">
                        <c:v>PDD &amp; PBU</c:v>
                      </c:pt>
                      <c:pt idx="43">
                        <c:v>Turn in Line</c:v>
                      </c:pt>
                      <c:pt idx="44">
                        <c:v>0</c:v>
                      </c:pt>
                      <c:pt idx="45">
                        <c:v>WATER OAK 1 D021</c:v>
                      </c:pt>
                      <c:pt idx="46">
                        <c:v>OCTG Order</c:v>
                      </c:pt>
                      <c:pt idx="47">
                        <c:v>Wellhead Order</c:v>
                      </c:pt>
                      <c:pt idx="48">
                        <c:v>Land Work, SUA &amp; Damages</c:v>
                      </c:pt>
                      <c:pt idx="49">
                        <c:v>Permitting &amp; Follow-up notifications</c:v>
                      </c:pt>
                      <c:pt idx="50">
                        <c:v>Pad Construction &amp; Conductor</c:v>
                      </c:pt>
                      <c:pt idx="51">
                        <c:v>Final Drill Plan and DWOP</c:v>
                      </c:pt>
                      <c:pt idx="52">
                        <c:v>Drill to TD</c:v>
                      </c:pt>
                      <c:pt idx="53">
                        <c:v>Log &amp; Run pipe</c:v>
                      </c:pt>
                      <c:pt idx="54">
                        <c:v>Completion Planning &amp; CWOP</c:v>
                      </c:pt>
                      <c:pt idx="55">
                        <c:v>Completion Operations</c:v>
                      </c:pt>
                      <c:pt idx="56">
                        <c:v>Perforate and DFIT's (5 intervals)</c:v>
                      </c:pt>
                      <c:pt idx="57">
                        <c:v>Set Packer &amp; Tube Up</c:v>
                      </c:pt>
                      <c:pt idx="58">
                        <c:v>Put well in service</c:v>
                      </c:pt>
                      <c:pt idx="59">
                        <c:v>0</c:v>
                      </c:pt>
                      <c:pt idx="60">
                        <c:v>FACILITIES CONSTRUCTION</c:v>
                      </c:pt>
                      <c:pt idx="61">
                        <c:v>Design Facilities</c:v>
                      </c:pt>
                      <c:pt idx="62">
                        <c:v>Order Equipment</c:v>
                      </c:pt>
                      <c:pt idx="63">
                        <c:v>Equip new wells</c:v>
                      </c:pt>
                      <c:pt idx="64">
                        <c:v>W/G Production and Injection Line Installation</c:v>
                      </c:pt>
                      <c:pt idx="65">
                        <c:v>Gas Marketing Agreements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CYMRIC 1MW ORC</c:v>
                      </c:pt>
                      <c:pt idx="69">
                        <c:v>Acquisition</c:v>
                      </c:pt>
                      <c:pt idx="70">
                        <c:v>Site Selection/Survey/Permitting</c:v>
                      </c:pt>
                      <c:pt idx="71">
                        <c:v>Construct Pad and Civil Works</c:v>
                      </c:pt>
                      <c:pt idx="72">
                        <c:v>Installation, Repairs &amp; Refurbishment</c:v>
                      </c:pt>
                      <c:pt idx="73">
                        <c:v>Testing &amp; Commissioning</c:v>
                      </c:pt>
                      <c:pt idx="74">
                        <c:v>Transmission Design &amp; Integration Plan</c:v>
                      </c:pt>
                      <c:pt idx="75">
                        <c:v>SUA &amp; Damages</c:v>
                      </c:pt>
                      <c:pt idx="76">
                        <c:v>Transmission Line Construction</c:v>
                      </c:pt>
                      <c:pt idx="77">
                        <c:v>Connection/Integration</c:v>
                      </c:pt>
                      <c:pt idx="78">
                        <c:v>Power Delivery &amp; Sales</c:v>
                      </c:pt>
                      <c:pt idx="79">
                        <c:v>0</c:v>
                      </c:pt>
                      <c:pt idx="80">
                        <c:v>PHASE II DEVELOPMENT</c:v>
                      </c:pt>
                      <c:pt idx="81">
                        <c:v>OCTG Order</c:v>
                      </c:pt>
                      <c:pt idx="82">
                        <c:v>Wellhead Order</c:v>
                      </c:pt>
                      <c:pt idx="83">
                        <c:v>Land/Lease</c:v>
                      </c:pt>
                      <c:pt idx="84">
                        <c:v>SUA &amp; Damages</c:v>
                      </c:pt>
                      <c:pt idx="85">
                        <c:v>Permitting</c:v>
                      </c:pt>
                      <c:pt idx="86">
                        <c:v>Pad Construction</c:v>
                      </c:pt>
                      <c:pt idx="87">
                        <c:v>Conductor - WO1 P022, P032, N042, N052</c:v>
                      </c:pt>
                      <c:pt idx="88">
                        <c:v>D&amp;C WO1 P022</c:v>
                      </c:pt>
                      <c:pt idx="89">
                        <c:v>Equip P022</c:v>
                      </c:pt>
                      <c:pt idx="90">
                        <c:v>D&amp;C WO1 P032</c:v>
                      </c:pt>
                      <c:pt idx="91">
                        <c:v>Equip P032</c:v>
                      </c:pt>
                      <c:pt idx="92">
                        <c:v>D&amp;C WO1 N042</c:v>
                      </c:pt>
                      <c:pt idx="93">
                        <c:v>Equip N042</c:v>
                      </c:pt>
                      <c:pt idx="94">
                        <c:v>D&amp;C WO1 N052</c:v>
                      </c:pt>
                      <c:pt idx="95">
                        <c:v>Equip N052</c:v>
                      </c:pt>
                      <c:pt idx="96">
                        <c:v>Pad Construction</c:v>
                      </c:pt>
                      <c:pt idx="97">
                        <c:v>Conductor - WO1 P062, P072, N082, N092</c:v>
                      </c:pt>
                      <c:pt idx="98">
                        <c:v>D&amp;C WO1 P062</c:v>
                      </c:pt>
                      <c:pt idx="99">
                        <c:v>Equip P062</c:v>
                      </c:pt>
                      <c:pt idx="100">
                        <c:v>D&amp;C WO1 P072</c:v>
                      </c:pt>
                      <c:pt idx="101">
                        <c:v>Equip P072</c:v>
                      </c:pt>
                      <c:pt idx="102">
                        <c:v>D&amp;C WO1 N082</c:v>
                      </c:pt>
                      <c:pt idx="103">
                        <c:v>Equip N082</c:v>
                      </c:pt>
                      <c:pt idx="104">
                        <c:v>D&amp;C WO1 N092</c:v>
                      </c:pt>
                      <c:pt idx="105">
                        <c:v>Equip N092</c:v>
                      </c:pt>
                      <c:pt idx="106">
                        <c:v>Pad Construction</c:v>
                      </c:pt>
                      <c:pt idx="107">
                        <c:v>Conductor - WO1 N101, P111, N121</c:v>
                      </c:pt>
                      <c:pt idx="108">
                        <c:v>D&amp;C WO1 N101</c:v>
                      </c:pt>
                      <c:pt idx="109">
                        <c:v>Equip N101</c:v>
                      </c:pt>
                      <c:pt idx="110">
                        <c:v>D&amp;C WO1 P111</c:v>
                      </c:pt>
                      <c:pt idx="111">
                        <c:v>Equip P111</c:v>
                      </c:pt>
                      <c:pt idx="112">
                        <c:v>D&amp;C WO1 N121</c:v>
                      </c:pt>
                      <c:pt idx="113">
                        <c:v>Equip N121</c:v>
                      </c:pt>
                      <c:pt idx="114">
                        <c:v>0</c:v>
                      </c:pt>
                      <c:pt idx="115">
                        <c:v>MIDSTREAM CONSTRUCTION</c:v>
                      </c:pt>
                      <c:pt idx="116">
                        <c:v>W&amp;G Trunk Lines (3)</c:v>
                      </c:pt>
                      <c:pt idx="117">
                        <c:v>0</c:v>
                      </c:pt>
                      <c:pt idx="118">
                        <c:v>WATER OAK PLANT 1 (20MW)</c:v>
                      </c:pt>
                      <c:pt idx="119">
                        <c:v>RFP</c:v>
                      </c:pt>
                      <c:pt idx="120">
                        <c:v>Permitting</c:v>
                      </c:pt>
                      <c:pt idx="121">
                        <c:v>Preliminary Design</c:v>
                      </c:pt>
                      <c:pt idx="122">
                        <c:v>FEED</c:v>
                      </c:pt>
                      <c:pt idx="123">
                        <c:v>Fabrication</c:v>
                      </c:pt>
                      <c:pt idx="124">
                        <c:v>Mobilization</c:v>
                      </c:pt>
                      <c:pt idx="125">
                        <c:v>Construction</c:v>
                      </c:pt>
                      <c:pt idx="126">
                        <c:v>Installation</c:v>
                      </c:pt>
                      <c:pt idx="127">
                        <c:v>Commisioning</c:v>
                      </c:pt>
                      <c:pt idx="128">
                        <c:v>Transmission Design &amp; Integration Plan</c:v>
                      </c:pt>
                      <c:pt idx="129">
                        <c:v>Transmission Line Construction</c:v>
                      </c:pt>
                      <c:pt idx="130">
                        <c:v>Connection/Integration</c:v>
                      </c:pt>
                      <c:pt idx="131">
                        <c:v>Power Delivery &amp; Sales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Modeler!$AA$7:$AA$150</c15:sqref>
                        </c15:formulaRef>
                      </c:ext>
                    </c:extLst>
                    <c:numCache>
                      <c:formatCode>General</c:formatCode>
                      <c:ptCount val="14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038D-4DAC-A273-7C461DED7914}"/>
                  </c:ext>
                </c:extLst>
              </c15:ser>
            </c15:filteredBarSeries>
            <c15:filteredBarSeries>
              <c15:ser>
                <c:idx val="10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Modeler!$AB$4</c15:sqref>
                        </c15:formulaRef>
                      </c:ext>
                    </c:extLst>
                    <c:strCache>
                      <c:ptCount val="1"/>
                      <c:pt idx="0">
                        <c:v>DT Frac</c:v>
                      </c:pt>
                    </c:strCache>
                  </c:strRef>
                </c:tx>
                <c:spPr>
                  <a:pattFill prst="smConfetti">
                    <a:fgClr>
                      <a:schemeClr val="tx1"/>
                    </a:fgClr>
                    <a:bgClr>
                      <a:schemeClr val="bg1"/>
                    </a:bgClr>
                  </a:pattFill>
                  <a:ln w="3175">
                    <a:solidFill>
                      <a:schemeClr val="tx1"/>
                    </a:solidFill>
                    <a:prstDash val="solid"/>
                  </a:ln>
                </c:spPr>
                <c:invertIfNegative val="0"/>
                <c:dPt>
                  <c:idx val="3"/>
                  <c:invertIfNegative val="0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B-038D-4DAC-A273-7C461DED7914}"/>
                    </c:ext>
                  </c:extLst>
                </c:dPt>
                <c:dPt>
                  <c:idx val="4"/>
                  <c:invertIfNegative val="0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C-038D-4DAC-A273-7C461DED7914}"/>
                    </c:ext>
                  </c:extLst>
                </c:dPt>
                <c:dPt>
                  <c:idx val="5"/>
                  <c:invertIfNegative val="0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D-038D-4DAC-A273-7C461DED7914}"/>
                    </c:ext>
                  </c:extLst>
                </c:dPt>
                <c:dPt>
                  <c:idx val="7"/>
                  <c:invertIfNegative val="0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E-038D-4DAC-A273-7C461DED7914}"/>
                    </c:ext>
                  </c:extLst>
                </c:dPt>
                <c:dPt>
                  <c:idx val="11"/>
                  <c:invertIfNegative val="0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F-038D-4DAC-A273-7C461DED7914}"/>
                    </c:ext>
                  </c:extLst>
                </c:dPt>
                <c:dPt>
                  <c:idx val="16"/>
                  <c:invertIfNegative val="0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0-038D-4DAC-A273-7C461DED7914}"/>
                    </c:ext>
                  </c:extLst>
                </c:dPt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Modeler!$C$7:$C$150</c15:sqref>
                        </c15:formulaRef>
                      </c:ext>
                    </c:extLst>
                    <c:strCache>
                      <c:ptCount val="144"/>
                      <c:pt idx="0">
                        <c:v>DATA GATHERING</c:v>
                      </c:pt>
                      <c:pt idx="1">
                        <c:v>Seismic Acquisition / Interpretation</c:v>
                      </c:pt>
                      <c:pt idx="2">
                        <c:v>Geologic Model</c:v>
                      </c:pt>
                      <c:pt idx="3">
                        <c:v>Reservoir Model</c:v>
                      </c:pt>
                      <c:pt idx="4">
                        <c:v>- Well Spacing/Temp/Rate Model - 20MW</c:v>
                      </c:pt>
                      <c:pt idx="5">
                        <c:v>- 20MW Full Simulation</c:v>
                      </c:pt>
                      <c:pt idx="6">
                        <c:v>- 20MW Development Plan</c:v>
                      </c:pt>
                      <c:pt idx="7">
                        <c:v>Reservoir Test Analysis - Pure #1</c:v>
                      </c:pt>
                      <c:pt idx="8">
                        <c:v>Core Analysis - Water Oak #1-1PV</c:v>
                      </c:pt>
                      <c:pt idx="9">
                        <c:v>Reservoir Test Analysis - Water Oak #1 - 1PV</c:v>
                      </c:pt>
                      <c:pt idx="10">
                        <c:v>0</c:v>
                      </c:pt>
                      <c:pt idx="11">
                        <c:v>PURE #1 ACTIVITIES</c:v>
                      </c:pt>
                      <c:pt idx="12">
                        <c:v>Acquisition</c:v>
                      </c:pt>
                      <c:pt idx="13">
                        <c:v>SUA &amp; Damages</c:v>
                      </c:pt>
                      <c:pt idx="14">
                        <c:v>Surface Site Prep, Facilities Repair &amp; Gas Mktg</c:v>
                      </c:pt>
                      <c:pt idx="15">
                        <c:v>Workover/Re-Entry</c:v>
                      </c:pt>
                      <c:pt idx="16">
                        <c:v>Flow Test</c:v>
                      </c:pt>
                      <c:pt idx="17">
                        <c:v>Conversion Workover - Ops Planning</c:v>
                      </c:pt>
                      <c:pt idx="18">
                        <c:v>Permitting for Conversion</c:v>
                      </c:pt>
                      <c:pt idx="19">
                        <c:v>Conversion Workover</c:v>
                      </c:pt>
                      <c:pt idx="20">
                        <c:v>0</c:v>
                      </c:pt>
                      <c:pt idx="21">
                        <c:v>PURE #1D ACTIVITIES</c:v>
                      </c:pt>
                      <c:pt idx="22">
                        <c:v>Acquisition</c:v>
                      </c:pt>
                      <c:pt idx="23">
                        <c:v>Surface Site Prep, Facilities Repair &amp; Injection Testing</c:v>
                      </c:pt>
                      <c:pt idx="24">
                        <c:v>Disposal Operations</c:v>
                      </c:pt>
                      <c:pt idx="25">
                        <c:v>Surface Equipment Removal</c:v>
                      </c:pt>
                      <c:pt idx="26">
                        <c:v>0</c:v>
                      </c:pt>
                      <c:pt idx="27">
                        <c:v>WATER OAK 1 P011CR</c:v>
                      </c:pt>
                      <c:pt idx="28">
                        <c:v>OCTG Order</c:v>
                      </c:pt>
                      <c:pt idx="29">
                        <c:v>Wellhead Order</c:v>
                      </c:pt>
                      <c:pt idx="30">
                        <c:v>Land Work, SUA &amp; Damages</c:v>
                      </c:pt>
                      <c:pt idx="31">
                        <c:v>Environmental &amp; Permitting</c:v>
                      </c:pt>
                      <c:pt idx="32">
                        <c:v>Pad Construction &amp; Conductor</c:v>
                      </c:pt>
                      <c:pt idx="33">
                        <c:v>Final Drill Plan and DWOP</c:v>
                      </c:pt>
                      <c:pt idx="34">
                        <c:v>Drill to core point</c:v>
                      </c:pt>
                      <c:pt idx="35">
                        <c:v>Core, Log &amp; Run Pipe</c:v>
                      </c:pt>
                      <c:pt idx="36">
                        <c:v>Wait on data processing for log &amp; core</c:v>
                      </c:pt>
                      <c:pt idx="37">
                        <c:v>Completion Planning &amp; CWOP</c:v>
                      </c:pt>
                      <c:pt idx="38">
                        <c:v>Completion Operations</c:v>
                      </c:pt>
                      <c:pt idx="39">
                        <c:v>Perforate and DFIT's (5 intervals)</c:v>
                      </c:pt>
                      <c:pt idx="40">
                        <c:v>Set Packer &amp; Tube Up</c:v>
                      </c:pt>
                      <c:pt idx="41">
                        <c:v>Flow Test</c:v>
                      </c:pt>
                      <c:pt idx="42">
                        <c:v>PDD &amp; PBU</c:v>
                      </c:pt>
                      <c:pt idx="43">
                        <c:v>Turn in Line</c:v>
                      </c:pt>
                      <c:pt idx="44">
                        <c:v>0</c:v>
                      </c:pt>
                      <c:pt idx="45">
                        <c:v>WATER OAK 1 D021</c:v>
                      </c:pt>
                      <c:pt idx="46">
                        <c:v>OCTG Order</c:v>
                      </c:pt>
                      <c:pt idx="47">
                        <c:v>Wellhead Order</c:v>
                      </c:pt>
                      <c:pt idx="48">
                        <c:v>Land Work, SUA &amp; Damages</c:v>
                      </c:pt>
                      <c:pt idx="49">
                        <c:v>Permitting &amp; Follow-up notifications</c:v>
                      </c:pt>
                      <c:pt idx="50">
                        <c:v>Pad Construction &amp; Conductor</c:v>
                      </c:pt>
                      <c:pt idx="51">
                        <c:v>Final Drill Plan and DWOP</c:v>
                      </c:pt>
                      <c:pt idx="52">
                        <c:v>Drill to TD</c:v>
                      </c:pt>
                      <c:pt idx="53">
                        <c:v>Log &amp; Run pipe</c:v>
                      </c:pt>
                      <c:pt idx="54">
                        <c:v>Completion Planning &amp; CWOP</c:v>
                      </c:pt>
                      <c:pt idx="55">
                        <c:v>Completion Operations</c:v>
                      </c:pt>
                      <c:pt idx="56">
                        <c:v>Perforate and DFIT's (5 intervals)</c:v>
                      </c:pt>
                      <c:pt idx="57">
                        <c:v>Set Packer &amp; Tube Up</c:v>
                      </c:pt>
                      <c:pt idx="58">
                        <c:v>Put well in service</c:v>
                      </c:pt>
                      <c:pt idx="59">
                        <c:v>0</c:v>
                      </c:pt>
                      <c:pt idx="60">
                        <c:v>FACILITIES CONSTRUCTION</c:v>
                      </c:pt>
                      <c:pt idx="61">
                        <c:v>Design Facilities</c:v>
                      </c:pt>
                      <c:pt idx="62">
                        <c:v>Order Equipment</c:v>
                      </c:pt>
                      <c:pt idx="63">
                        <c:v>Equip new wells</c:v>
                      </c:pt>
                      <c:pt idx="64">
                        <c:v>W/G Production and Injection Line Installation</c:v>
                      </c:pt>
                      <c:pt idx="65">
                        <c:v>Gas Marketing Agreements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CYMRIC 1MW ORC</c:v>
                      </c:pt>
                      <c:pt idx="69">
                        <c:v>Acquisition</c:v>
                      </c:pt>
                      <c:pt idx="70">
                        <c:v>Site Selection/Survey/Permitting</c:v>
                      </c:pt>
                      <c:pt idx="71">
                        <c:v>Construct Pad and Civil Works</c:v>
                      </c:pt>
                      <c:pt idx="72">
                        <c:v>Installation, Repairs &amp; Refurbishment</c:v>
                      </c:pt>
                      <c:pt idx="73">
                        <c:v>Testing &amp; Commissioning</c:v>
                      </c:pt>
                      <c:pt idx="74">
                        <c:v>Transmission Design &amp; Integration Plan</c:v>
                      </c:pt>
                      <c:pt idx="75">
                        <c:v>SUA &amp; Damages</c:v>
                      </c:pt>
                      <c:pt idx="76">
                        <c:v>Transmission Line Construction</c:v>
                      </c:pt>
                      <c:pt idx="77">
                        <c:v>Connection/Integration</c:v>
                      </c:pt>
                      <c:pt idx="78">
                        <c:v>Power Delivery &amp; Sales</c:v>
                      </c:pt>
                      <c:pt idx="79">
                        <c:v>0</c:v>
                      </c:pt>
                      <c:pt idx="80">
                        <c:v>PHASE II DEVELOPMENT</c:v>
                      </c:pt>
                      <c:pt idx="81">
                        <c:v>OCTG Order</c:v>
                      </c:pt>
                      <c:pt idx="82">
                        <c:v>Wellhead Order</c:v>
                      </c:pt>
                      <c:pt idx="83">
                        <c:v>Land/Lease</c:v>
                      </c:pt>
                      <c:pt idx="84">
                        <c:v>SUA &amp; Damages</c:v>
                      </c:pt>
                      <c:pt idx="85">
                        <c:v>Permitting</c:v>
                      </c:pt>
                      <c:pt idx="86">
                        <c:v>Pad Construction</c:v>
                      </c:pt>
                      <c:pt idx="87">
                        <c:v>Conductor - WO1 P022, P032, N042, N052</c:v>
                      </c:pt>
                      <c:pt idx="88">
                        <c:v>D&amp;C WO1 P022</c:v>
                      </c:pt>
                      <c:pt idx="89">
                        <c:v>Equip P022</c:v>
                      </c:pt>
                      <c:pt idx="90">
                        <c:v>D&amp;C WO1 P032</c:v>
                      </c:pt>
                      <c:pt idx="91">
                        <c:v>Equip P032</c:v>
                      </c:pt>
                      <c:pt idx="92">
                        <c:v>D&amp;C WO1 N042</c:v>
                      </c:pt>
                      <c:pt idx="93">
                        <c:v>Equip N042</c:v>
                      </c:pt>
                      <c:pt idx="94">
                        <c:v>D&amp;C WO1 N052</c:v>
                      </c:pt>
                      <c:pt idx="95">
                        <c:v>Equip N052</c:v>
                      </c:pt>
                      <c:pt idx="96">
                        <c:v>Pad Construction</c:v>
                      </c:pt>
                      <c:pt idx="97">
                        <c:v>Conductor - WO1 P062, P072, N082, N092</c:v>
                      </c:pt>
                      <c:pt idx="98">
                        <c:v>D&amp;C WO1 P062</c:v>
                      </c:pt>
                      <c:pt idx="99">
                        <c:v>Equip P062</c:v>
                      </c:pt>
                      <c:pt idx="100">
                        <c:v>D&amp;C WO1 P072</c:v>
                      </c:pt>
                      <c:pt idx="101">
                        <c:v>Equip P072</c:v>
                      </c:pt>
                      <c:pt idx="102">
                        <c:v>D&amp;C WO1 N082</c:v>
                      </c:pt>
                      <c:pt idx="103">
                        <c:v>Equip N082</c:v>
                      </c:pt>
                      <c:pt idx="104">
                        <c:v>D&amp;C WO1 N092</c:v>
                      </c:pt>
                      <c:pt idx="105">
                        <c:v>Equip N092</c:v>
                      </c:pt>
                      <c:pt idx="106">
                        <c:v>Pad Construction</c:v>
                      </c:pt>
                      <c:pt idx="107">
                        <c:v>Conductor - WO1 N101, P111, N121</c:v>
                      </c:pt>
                      <c:pt idx="108">
                        <c:v>D&amp;C WO1 N101</c:v>
                      </c:pt>
                      <c:pt idx="109">
                        <c:v>Equip N101</c:v>
                      </c:pt>
                      <c:pt idx="110">
                        <c:v>D&amp;C WO1 P111</c:v>
                      </c:pt>
                      <c:pt idx="111">
                        <c:v>Equip P111</c:v>
                      </c:pt>
                      <c:pt idx="112">
                        <c:v>D&amp;C WO1 N121</c:v>
                      </c:pt>
                      <c:pt idx="113">
                        <c:v>Equip N121</c:v>
                      </c:pt>
                      <c:pt idx="114">
                        <c:v>0</c:v>
                      </c:pt>
                      <c:pt idx="115">
                        <c:v>MIDSTREAM CONSTRUCTION</c:v>
                      </c:pt>
                      <c:pt idx="116">
                        <c:v>W&amp;G Trunk Lines (3)</c:v>
                      </c:pt>
                      <c:pt idx="117">
                        <c:v>0</c:v>
                      </c:pt>
                      <c:pt idx="118">
                        <c:v>WATER OAK PLANT 1 (20MW)</c:v>
                      </c:pt>
                      <c:pt idx="119">
                        <c:v>RFP</c:v>
                      </c:pt>
                      <c:pt idx="120">
                        <c:v>Permitting</c:v>
                      </c:pt>
                      <c:pt idx="121">
                        <c:v>Preliminary Design</c:v>
                      </c:pt>
                      <c:pt idx="122">
                        <c:v>FEED</c:v>
                      </c:pt>
                      <c:pt idx="123">
                        <c:v>Fabrication</c:v>
                      </c:pt>
                      <c:pt idx="124">
                        <c:v>Mobilization</c:v>
                      </c:pt>
                      <c:pt idx="125">
                        <c:v>Construction</c:v>
                      </c:pt>
                      <c:pt idx="126">
                        <c:v>Installation</c:v>
                      </c:pt>
                      <c:pt idx="127">
                        <c:v>Commisioning</c:v>
                      </c:pt>
                      <c:pt idx="128">
                        <c:v>Transmission Design &amp; Integration Plan</c:v>
                      </c:pt>
                      <c:pt idx="129">
                        <c:v>Transmission Line Construction</c:v>
                      </c:pt>
                      <c:pt idx="130">
                        <c:v>Connection/Integration</c:v>
                      </c:pt>
                      <c:pt idx="131">
                        <c:v>Power Delivery &amp; Sales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Modeler!$AB$7:$AB$150</c15:sqref>
                        </c15:formulaRef>
                      </c:ext>
                    </c:extLst>
                    <c:numCache>
                      <c:formatCode>General</c:formatCode>
                      <c:ptCount val="14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038D-4DAC-A273-7C461DED7914}"/>
                  </c:ext>
                </c:extLst>
              </c15:ser>
            </c15:filteredBarSeries>
            <c15:filteredBarSeries>
              <c15:ser>
                <c:idx val="11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Modeler!$AC$4</c15:sqref>
                        </c15:formulaRef>
                      </c:ext>
                    </c:extLst>
                    <c:strCache>
                      <c:ptCount val="1"/>
                      <c:pt idx="0">
                        <c:v>Pull String</c:v>
                      </c:pt>
                    </c:strCache>
                  </c:strRef>
                </c:tx>
                <c:spPr>
                  <a:pattFill prst="lgCheck">
                    <a:fgClr>
                      <a:schemeClr val="bg1"/>
                    </a:fgClr>
                    <a:bgClr>
                      <a:schemeClr val="tx1"/>
                    </a:bgClr>
                  </a:pattFill>
                  <a:ln w="12700">
                    <a:solidFill>
                      <a:srgbClr val="000000"/>
                    </a:solidFill>
                    <a:prstDash val="solid"/>
                  </a:ln>
                </c:spPr>
                <c:invertIfNegative val="0"/>
                <c:dLbls>
                  <c:dLbl>
                    <c:idx val="0"/>
                    <c:tx>
                      <c:rich>
                        <a:bodyPr/>
                        <a:lstStyle/>
                        <a:p>
                          <a:endParaRPr lang="en-US"/>
                        </a:p>
                      </c:rich>
                    </c:tx>
                    <c:dLblPos val="inBase"/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32-038D-4DAC-A273-7C461DED7914}"/>
                      </c:ext>
                    </c:extLst>
                  </c:dLbl>
                  <c:dLbl>
                    <c:idx val="1"/>
                    <c:tx>
                      <c:rich>
                        <a:bodyPr/>
                        <a:lstStyle/>
                        <a:p>
                          <a:endParaRPr lang="en-US"/>
                        </a:p>
                      </c:rich>
                    </c:tx>
                    <c:dLblPos val="inBase"/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33-038D-4DAC-A273-7C461DED7914}"/>
                      </c:ext>
                    </c:extLst>
                  </c:dLbl>
                  <c:dLbl>
                    <c:idx val="33"/>
                    <c:tx>
                      <c:rich>
                        <a:bodyPr/>
                        <a:lstStyle/>
                        <a:p>
                          <a:endParaRPr lang="en-US"/>
                        </a:p>
                      </c:rich>
                    </c:tx>
                    <c:dLblPos val="inBase"/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34-038D-4DAC-A273-7C461DED7914}"/>
                      </c:ext>
                    </c:extLst>
                  </c:dLbl>
                  <c:dLbl>
                    <c:idx val="34"/>
                    <c:tx>
                      <c:rich>
                        <a:bodyPr/>
                        <a:lstStyle/>
                        <a:p>
                          <a:endParaRPr lang="en-US"/>
                        </a:p>
                      </c:rich>
                    </c:tx>
                    <c:dLblPos val="inBase"/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35-038D-4DAC-A273-7C461DED7914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dLblPos val="inBase"/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0"/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Modeler!$C$7:$C$150</c15:sqref>
                        </c15:formulaRef>
                      </c:ext>
                    </c:extLst>
                    <c:strCache>
                      <c:ptCount val="144"/>
                      <c:pt idx="0">
                        <c:v>DATA GATHERING</c:v>
                      </c:pt>
                      <c:pt idx="1">
                        <c:v>Seismic Acquisition / Interpretation</c:v>
                      </c:pt>
                      <c:pt idx="2">
                        <c:v>Geologic Model</c:v>
                      </c:pt>
                      <c:pt idx="3">
                        <c:v>Reservoir Model</c:v>
                      </c:pt>
                      <c:pt idx="4">
                        <c:v>- Well Spacing/Temp/Rate Model - 20MW</c:v>
                      </c:pt>
                      <c:pt idx="5">
                        <c:v>- 20MW Full Simulation</c:v>
                      </c:pt>
                      <c:pt idx="6">
                        <c:v>- 20MW Development Plan</c:v>
                      </c:pt>
                      <c:pt idx="7">
                        <c:v>Reservoir Test Analysis - Pure #1</c:v>
                      </c:pt>
                      <c:pt idx="8">
                        <c:v>Core Analysis - Water Oak #1-1PV</c:v>
                      </c:pt>
                      <c:pt idx="9">
                        <c:v>Reservoir Test Analysis - Water Oak #1 - 1PV</c:v>
                      </c:pt>
                      <c:pt idx="10">
                        <c:v>0</c:v>
                      </c:pt>
                      <c:pt idx="11">
                        <c:v>PURE #1 ACTIVITIES</c:v>
                      </c:pt>
                      <c:pt idx="12">
                        <c:v>Acquisition</c:v>
                      </c:pt>
                      <c:pt idx="13">
                        <c:v>SUA &amp; Damages</c:v>
                      </c:pt>
                      <c:pt idx="14">
                        <c:v>Surface Site Prep, Facilities Repair &amp; Gas Mktg</c:v>
                      </c:pt>
                      <c:pt idx="15">
                        <c:v>Workover/Re-Entry</c:v>
                      </c:pt>
                      <c:pt idx="16">
                        <c:v>Flow Test</c:v>
                      </c:pt>
                      <c:pt idx="17">
                        <c:v>Conversion Workover - Ops Planning</c:v>
                      </c:pt>
                      <c:pt idx="18">
                        <c:v>Permitting for Conversion</c:v>
                      </c:pt>
                      <c:pt idx="19">
                        <c:v>Conversion Workover</c:v>
                      </c:pt>
                      <c:pt idx="20">
                        <c:v>0</c:v>
                      </c:pt>
                      <c:pt idx="21">
                        <c:v>PURE #1D ACTIVITIES</c:v>
                      </c:pt>
                      <c:pt idx="22">
                        <c:v>Acquisition</c:v>
                      </c:pt>
                      <c:pt idx="23">
                        <c:v>Surface Site Prep, Facilities Repair &amp; Injection Testing</c:v>
                      </c:pt>
                      <c:pt idx="24">
                        <c:v>Disposal Operations</c:v>
                      </c:pt>
                      <c:pt idx="25">
                        <c:v>Surface Equipment Removal</c:v>
                      </c:pt>
                      <c:pt idx="26">
                        <c:v>0</c:v>
                      </c:pt>
                      <c:pt idx="27">
                        <c:v>WATER OAK 1 P011CR</c:v>
                      </c:pt>
                      <c:pt idx="28">
                        <c:v>OCTG Order</c:v>
                      </c:pt>
                      <c:pt idx="29">
                        <c:v>Wellhead Order</c:v>
                      </c:pt>
                      <c:pt idx="30">
                        <c:v>Land Work, SUA &amp; Damages</c:v>
                      </c:pt>
                      <c:pt idx="31">
                        <c:v>Environmental &amp; Permitting</c:v>
                      </c:pt>
                      <c:pt idx="32">
                        <c:v>Pad Construction &amp; Conductor</c:v>
                      </c:pt>
                      <c:pt idx="33">
                        <c:v>Final Drill Plan and DWOP</c:v>
                      </c:pt>
                      <c:pt idx="34">
                        <c:v>Drill to core point</c:v>
                      </c:pt>
                      <c:pt idx="35">
                        <c:v>Core, Log &amp; Run Pipe</c:v>
                      </c:pt>
                      <c:pt idx="36">
                        <c:v>Wait on data processing for log &amp; core</c:v>
                      </c:pt>
                      <c:pt idx="37">
                        <c:v>Completion Planning &amp; CWOP</c:v>
                      </c:pt>
                      <c:pt idx="38">
                        <c:v>Completion Operations</c:v>
                      </c:pt>
                      <c:pt idx="39">
                        <c:v>Perforate and DFIT's (5 intervals)</c:v>
                      </c:pt>
                      <c:pt idx="40">
                        <c:v>Set Packer &amp; Tube Up</c:v>
                      </c:pt>
                      <c:pt idx="41">
                        <c:v>Flow Test</c:v>
                      </c:pt>
                      <c:pt idx="42">
                        <c:v>PDD &amp; PBU</c:v>
                      </c:pt>
                      <c:pt idx="43">
                        <c:v>Turn in Line</c:v>
                      </c:pt>
                      <c:pt idx="44">
                        <c:v>0</c:v>
                      </c:pt>
                      <c:pt idx="45">
                        <c:v>WATER OAK 1 D021</c:v>
                      </c:pt>
                      <c:pt idx="46">
                        <c:v>OCTG Order</c:v>
                      </c:pt>
                      <c:pt idx="47">
                        <c:v>Wellhead Order</c:v>
                      </c:pt>
                      <c:pt idx="48">
                        <c:v>Land Work, SUA &amp; Damages</c:v>
                      </c:pt>
                      <c:pt idx="49">
                        <c:v>Permitting &amp; Follow-up notifications</c:v>
                      </c:pt>
                      <c:pt idx="50">
                        <c:v>Pad Construction &amp; Conductor</c:v>
                      </c:pt>
                      <c:pt idx="51">
                        <c:v>Final Drill Plan and DWOP</c:v>
                      </c:pt>
                      <c:pt idx="52">
                        <c:v>Drill to TD</c:v>
                      </c:pt>
                      <c:pt idx="53">
                        <c:v>Log &amp; Run pipe</c:v>
                      </c:pt>
                      <c:pt idx="54">
                        <c:v>Completion Planning &amp; CWOP</c:v>
                      </c:pt>
                      <c:pt idx="55">
                        <c:v>Completion Operations</c:v>
                      </c:pt>
                      <c:pt idx="56">
                        <c:v>Perforate and DFIT's (5 intervals)</c:v>
                      </c:pt>
                      <c:pt idx="57">
                        <c:v>Set Packer &amp; Tube Up</c:v>
                      </c:pt>
                      <c:pt idx="58">
                        <c:v>Put well in service</c:v>
                      </c:pt>
                      <c:pt idx="59">
                        <c:v>0</c:v>
                      </c:pt>
                      <c:pt idx="60">
                        <c:v>FACILITIES CONSTRUCTION</c:v>
                      </c:pt>
                      <c:pt idx="61">
                        <c:v>Design Facilities</c:v>
                      </c:pt>
                      <c:pt idx="62">
                        <c:v>Order Equipment</c:v>
                      </c:pt>
                      <c:pt idx="63">
                        <c:v>Equip new wells</c:v>
                      </c:pt>
                      <c:pt idx="64">
                        <c:v>W/G Production and Injection Line Installation</c:v>
                      </c:pt>
                      <c:pt idx="65">
                        <c:v>Gas Marketing Agreements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CYMRIC 1MW ORC</c:v>
                      </c:pt>
                      <c:pt idx="69">
                        <c:v>Acquisition</c:v>
                      </c:pt>
                      <c:pt idx="70">
                        <c:v>Site Selection/Survey/Permitting</c:v>
                      </c:pt>
                      <c:pt idx="71">
                        <c:v>Construct Pad and Civil Works</c:v>
                      </c:pt>
                      <c:pt idx="72">
                        <c:v>Installation, Repairs &amp; Refurbishment</c:v>
                      </c:pt>
                      <c:pt idx="73">
                        <c:v>Testing &amp; Commissioning</c:v>
                      </c:pt>
                      <c:pt idx="74">
                        <c:v>Transmission Design &amp; Integration Plan</c:v>
                      </c:pt>
                      <c:pt idx="75">
                        <c:v>SUA &amp; Damages</c:v>
                      </c:pt>
                      <c:pt idx="76">
                        <c:v>Transmission Line Construction</c:v>
                      </c:pt>
                      <c:pt idx="77">
                        <c:v>Connection/Integration</c:v>
                      </c:pt>
                      <c:pt idx="78">
                        <c:v>Power Delivery &amp; Sales</c:v>
                      </c:pt>
                      <c:pt idx="79">
                        <c:v>0</c:v>
                      </c:pt>
                      <c:pt idx="80">
                        <c:v>PHASE II DEVELOPMENT</c:v>
                      </c:pt>
                      <c:pt idx="81">
                        <c:v>OCTG Order</c:v>
                      </c:pt>
                      <c:pt idx="82">
                        <c:v>Wellhead Order</c:v>
                      </c:pt>
                      <c:pt idx="83">
                        <c:v>Land/Lease</c:v>
                      </c:pt>
                      <c:pt idx="84">
                        <c:v>SUA &amp; Damages</c:v>
                      </c:pt>
                      <c:pt idx="85">
                        <c:v>Permitting</c:v>
                      </c:pt>
                      <c:pt idx="86">
                        <c:v>Pad Construction</c:v>
                      </c:pt>
                      <c:pt idx="87">
                        <c:v>Conductor - WO1 P022, P032, N042, N052</c:v>
                      </c:pt>
                      <c:pt idx="88">
                        <c:v>D&amp;C WO1 P022</c:v>
                      </c:pt>
                      <c:pt idx="89">
                        <c:v>Equip P022</c:v>
                      </c:pt>
                      <c:pt idx="90">
                        <c:v>D&amp;C WO1 P032</c:v>
                      </c:pt>
                      <c:pt idx="91">
                        <c:v>Equip P032</c:v>
                      </c:pt>
                      <c:pt idx="92">
                        <c:v>D&amp;C WO1 N042</c:v>
                      </c:pt>
                      <c:pt idx="93">
                        <c:v>Equip N042</c:v>
                      </c:pt>
                      <c:pt idx="94">
                        <c:v>D&amp;C WO1 N052</c:v>
                      </c:pt>
                      <c:pt idx="95">
                        <c:v>Equip N052</c:v>
                      </c:pt>
                      <c:pt idx="96">
                        <c:v>Pad Construction</c:v>
                      </c:pt>
                      <c:pt idx="97">
                        <c:v>Conductor - WO1 P062, P072, N082, N092</c:v>
                      </c:pt>
                      <c:pt idx="98">
                        <c:v>D&amp;C WO1 P062</c:v>
                      </c:pt>
                      <c:pt idx="99">
                        <c:v>Equip P062</c:v>
                      </c:pt>
                      <c:pt idx="100">
                        <c:v>D&amp;C WO1 P072</c:v>
                      </c:pt>
                      <c:pt idx="101">
                        <c:v>Equip P072</c:v>
                      </c:pt>
                      <c:pt idx="102">
                        <c:v>D&amp;C WO1 N082</c:v>
                      </c:pt>
                      <c:pt idx="103">
                        <c:v>Equip N082</c:v>
                      </c:pt>
                      <c:pt idx="104">
                        <c:v>D&amp;C WO1 N092</c:v>
                      </c:pt>
                      <c:pt idx="105">
                        <c:v>Equip N092</c:v>
                      </c:pt>
                      <c:pt idx="106">
                        <c:v>Pad Construction</c:v>
                      </c:pt>
                      <c:pt idx="107">
                        <c:v>Conductor - WO1 N101, P111, N121</c:v>
                      </c:pt>
                      <c:pt idx="108">
                        <c:v>D&amp;C WO1 N101</c:v>
                      </c:pt>
                      <c:pt idx="109">
                        <c:v>Equip N101</c:v>
                      </c:pt>
                      <c:pt idx="110">
                        <c:v>D&amp;C WO1 P111</c:v>
                      </c:pt>
                      <c:pt idx="111">
                        <c:v>Equip P111</c:v>
                      </c:pt>
                      <c:pt idx="112">
                        <c:v>D&amp;C WO1 N121</c:v>
                      </c:pt>
                      <c:pt idx="113">
                        <c:v>Equip N121</c:v>
                      </c:pt>
                      <c:pt idx="114">
                        <c:v>0</c:v>
                      </c:pt>
                      <c:pt idx="115">
                        <c:v>MIDSTREAM CONSTRUCTION</c:v>
                      </c:pt>
                      <c:pt idx="116">
                        <c:v>W&amp;G Trunk Lines (3)</c:v>
                      </c:pt>
                      <c:pt idx="117">
                        <c:v>0</c:v>
                      </c:pt>
                      <c:pt idx="118">
                        <c:v>WATER OAK PLANT 1 (20MW)</c:v>
                      </c:pt>
                      <c:pt idx="119">
                        <c:v>RFP</c:v>
                      </c:pt>
                      <c:pt idx="120">
                        <c:v>Permitting</c:v>
                      </c:pt>
                      <c:pt idx="121">
                        <c:v>Preliminary Design</c:v>
                      </c:pt>
                      <c:pt idx="122">
                        <c:v>FEED</c:v>
                      </c:pt>
                      <c:pt idx="123">
                        <c:v>Fabrication</c:v>
                      </c:pt>
                      <c:pt idx="124">
                        <c:v>Mobilization</c:v>
                      </c:pt>
                      <c:pt idx="125">
                        <c:v>Construction</c:v>
                      </c:pt>
                      <c:pt idx="126">
                        <c:v>Installation</c:v>
                      </c:pt>
                      <c:pt idx="127">
                        <c:v>Commisioning</c:v>
                      </c:pt>
                      <c:pt idx="128">
                        <c:v>Transmission Design &amp; Integration Plan</c:v>
                      </c:pt>
                      <c:pt idx="129">
                        <c:v>Transmission Line Construction</c:v>
                      </c:pt>
                      <c:pt idx="130">
                        <c:v>Connection/Integration</c:v>
                      </c:pt>
                      <c:pt idx="131">
                        <c:v>Power Delivery &amp; Sales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Modeler!$AD$7:$AD$150</c15:sqref>
                        </c15:formulaRef>
                      </c:ext>
                    </c:extLst>
                    <c:numCache>
                      <c:formatCode>General</c:formatCode>
                      <c:ptCount val="14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038D-4DAC-A273-7C461DED7914}"/>
                  </c:ext>
                </c:extLst>
              </c15:ser>
            </c15:filteredBarSeries>
          </c:ext>
        </c:extLst>
      </c:barChart>
      <c:catAx>
        <c:axId val="788543744"/>
        <c:scaling>
          <c:orientation val="maxMin"/>
        </c:scaling>
        <c:delete val="0"/>
        <c:axPos val="l"/>
        <c:majorGridlines>
          <c:spPr>
            <a:ln w="12700">
              <a:solidFill>
                <a:schemeClr val="bg1">
                  <a:lumMod val="75000"/>
                </a:schemeClr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88544136"/>
        <c:crosses val="autoZero"/>
        <c:auto val="1"/>
        <c:lblAlgn val="ctr"/>
        <c:lblOffset val="100"/>
        <c:tickMarkSkip val="1"/>
        <c:noMultiLvlLbl val="0"/>
      </c:catAx>
      <c:valAx>
        <c:axId val="788544136"/>
        <c:scaling>
          <c:orientation val="minMax"/>
          <c:max val="46112"/>
          <c:min val="44835"/>
        </c:scaling>
        <c:delete val="0"/>
        <c:axPos val="t"/>
        <c:majorGridlines>
          <c:spPr>
            <a:ln w="3175">
              <a:solidFill>
                <a:schemeClr val="bg1">
                  <a:lumMod val="75000"/>
                </a:schemeClr>
              </a:solidFill>
              <a:prstDash val="solid"/>
            </a:ln>
          </c:spPr>
        </c:majorGridlines>
        <c:minorGridlines>
          <c:spPr>
            <a:ln w="3175">
              <a:noFill/>
              <a:prstDash val="solid"/>
            </a:ln>
          </c:spPr>
        </c:minorGridlines>
        <c:numFmt formatCode="[$-409]d\-mmm\-yy;@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88543744"/>
        <c:crosses val="autoZero"/>
        <c:crossBetween val="between"/>
        <c:majorUnit val="7"/>
        <c:minorUnit val="1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5089417418544407"/>
          <c:y val="0.91621898367784127"/>
          <c:w val="6.1220113837156573E-2"/>
          <c:h val="7.066125397182743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+mn-lt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870270330132784"/>
          <c:y val="8.5773781907994714E-2"/>
          <c:w val="0.77306373412184237"/>
          <c:h val="0.87474353972428764"/>
        </c:manualLayout>
      </c:layout>
      <c:barChart>
        <c:barDir val="bar"/>
        <c:grouping val="stacked"/>
        <c:varyColors val="0"/>
        <c:ser>
          <c:idx val="0"/>
          <c:order val="0"/>
          <c:tx>
            <c:v>Datum</c:v>
          </c:tx>
          <c:spPr>
            <a:noFill/>
            <a:ln w="25400">
              <a:noFill/>
            </a:ln>
          </c:spPr>
          <c:invertIfNegative val="0"/>
          <c:cat>
            <c:strRef>
              <c:f>Modeler!$C$5:$C$46</c:f>
              <c:strCache>
                <c:ptCount val="41"/>
                <c:pt idx="1">
                  <c:v>DATA GATHERING</c:v>
                </c:pt>
                <c:pt idx="2">
                  <c:v>Seismic Acquisition / Interpretation</c:v>
                </c:pt>
                <c:pt idx="3">
                  <c:v>Geologic Model</c:v>
                </c:pt>
                <c:pt idx="4">
                  <c:v>Reservoir Model</c:v>
                </c:pt>
                <c:pt idx="5">
                  <c:v>- Well Spacing/Temp/Rate Model - 20MW</c:v>
                </c:pt>
                <c:pt idx="6">
                  <c:v>- 20MW Full Simulation</c:v>
                </c:pt>
                <c:pt idx="7">
                  <c:v>- 20MW Development Plan</c:v>
                </c:pt>
                <c:pt idx="8">
                  <c:v>Reservoir Test Analysis - Pure #1</c:v>
                </c:pt>
                <c:pt idx="9">
                  <c:v>Core Analysis - Water Oak #1-1PV</c:v>
                </c:pt>
                <c:pt idx="10">
                  <c:v>Reservoir Test Analysis - Water Oak #1 - 1PV</c:v>
                </c:pt>
                <c:pt idx="11">
                  <c:v>0</c:v>
                </c:pt>
                <c:pt idx="12">
                  <c:v>PURE #1 ACTIVITIES</c:v>
                </c:pt>
                <c:pt idx="13">
                  <c:v>Acquisition</c:v>
                </c:pt>
                <c:pt idx="14">
                  <c:v>SUA &amp; Damages</c:v>
                </c:pt>
                <c:pt idx="15">
                  <c:v>Surface Site Prep, Facilities Repair &amp; Gas Mktg</c:v>
                </c:pt>
                <c:pt idx="16">
                  <c:v>Workover/Re-Entry</c:v>
                </c:pt>
                <c:pt idx="17">
                  <c:v>Flow Test</c:v>
                </c:pt>
                <c:pt idx="18">
                  <c:v>Conversion Workover - Ops Planning</c:v>
                </c:pt>
                <c:pt idx="19">
                  <c:v>Permitting for Conversion</c:v>
                </c:pt>
                <c:pt idx="20">
                  <c:v>Conversion Workover</c:v>
                </c:pt>
                <c:pt idx="21">
                  <c:v>0</c:v>
                </c:pt>
                <c:pt idx="22">
                  <c:v>PURE #1D ACTIVITIES</c:v>
                </c:pt>
                <c:pt idx="23">
                  <c:v>Acquisition</c:v>
                </c:pt>
                <c:pt idx="24">
                  <c:v>Surface Site Prep, Facilities Repair &amp; Injection Testing</c:v>
                </c:pt>
                <c:pt idx="25">
                  <c:v>Disposal Operations</c:v>
                </c:pt>
                <c:pt idx="26">
                  <c:v>Surface Equipment Removal</c:v>
                </c:pt>
                <c:pt idx="27">
                  <c:v>0</c:v>
                </c:pt>
                <c:pt idx="28">
                  <c:v>WATER OAK 1 P011CR</c:v>
                </c:pt>
                <c:pt idx="29">
                  <c:v>OCTG Order</c:v>
                </c:pt>
                <c:pt idx="30">
                  <c:v>Wellhead Order</c:v>
                </c:pt>
                <c:pt idx="31">
                  <c:v>Land Work, SUA &amp; Damages</c:v>
                </c:pt>
                <c:pt idx="32">
                  <c:v>Environmental &amp; Permitting</c:v>
                </c:pt>
                <c:pt idx="33">
                  <c:v>Pad Construction &amp; Conductor</c:v>
                </c:pt>
                <c:pt idx="34">
                  <c:v>Final Drill Plan and DWOP</c:v>
                </c:pt>
                <c:pt idx="35">
                  <c:v>Drill to core point</c:v>
                </c:pt>
                <c:pt idx="36">
                  <c:v>Core, Log &amp; Run Pipe</c:v>
                </c:pt>
                <c:pt idx="37">
                  <c:v>Wait on data processing for log &amp; core</c:v>
                </c:pt>
                <c:pt idx="38">
                  <c:v>Completion Planning &amp; CWOP</c:v>
                </c:pt>
                <c:pt idx="39">
                  <c:v>Completion Operations</c:v>
                </c:pt>
                <c:pt idx="40">
                  <c:v>Perforate and DFIT's (5 intervals)</c:v>
                </c:pt>
              </c:strCache>
            </c:strRef>
          </c:cat>
          <c:val>
            <c:numRef>
              <c:f>Modeler!$G$5:$G$41</c:f>
              <c:numCache>
                <c:formatCode>[$-409]d\-mmm\-yy;@</c:formatCode>
                <c:ptCount val="36"/>
                <c:pt idx="1">
                  <c:v>0</c:v>
                </c:pt>
                <c:pt idx="2">
                  <c:v>44901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44941</c:v>
                </c:pt>
                <c:pt idx="32">
                  <c:v>44935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6F-4528-A5C2-4928FE99ACA9}"/>
            </c:ext>
          </c:extLst>
        </c:ser>
        <c:ser>
          <c:idx val="12"/>
          <c:order val="1"/>
          <c:tx>
            <c:strRef>
              <c:f>Modeler!$D$4</c:f>
              <c:strCache>
                <c:ptCount val="1"/>
                <c:pt idx="0">
                  <c:v>First Activity Start Date</c:v>
                </c:pt>
              </c:strCache>
            </c:strRef>
          </c:tx>
          <c:spPr>
            <a:pattFill prst="dotDmnd">
              <a:fgClr>
                <a:schemeClr val="tx2">
                  <a:lumMod val="50000"/>
                </a:schemeClr>
              </a:fgClr>
              <a:bgClr>
                <a:schemeClr val="bg1"/>
              </a:bgClr>
            </a:pattFill>
            <a:ln w="12700">
              <a:solidFill>
                <a:schemeClr val="accent1"/>
              </a:solidFill>
            </a:ln>
          </c:spPr>
          <c:invertIfNegative val="0"/>
          <c:val>
            <c:numRef>
              <c:f>Modeler!$E$6:$E$45</c:f>
              <c:numCache>
                <c:formatCode>General</c:formatCode>
                <c:ptCount val="40"/>
                <c:pt idx="1">
                  <c:v>488</c:v>
                </c:pt>
                <c:pt idx="2">
                  <c:v>61</c:v>
                </c:pt>
                <c:pt idx="3">
                  <c:v>31</c:v>
                </c:pt>
                <c:pt idx="4">
                  <c:v>90</c:v>
                </c:pt>
                <c:pt idx="5">
                  <c:v>31</c:v>
                </c:pt>
                <c:pt idx="6">
                  <c:v>59</c:v>
                </c:pt>
                <c:pt idx="7">
                  <c:v>365</c:v>
                </c:pt>
                <c:pt idx="8">
                  <c:v>28</c:v>
                </c:pt>
                <c:pt idx="9">
                  <c:v>61</c:v>
                </c:pt>
                <c:pt idx="10">
                  <c:v>61</c:v>
                </c:pt>
                <c:pt idx="11">
                  <c:v>0</c:v>
                </c:pt>
                <c:pt idx="12">
                  <c:v>396</c:v>
                </c:pt>
                <c:pt idx="13">
                  <c:v>31</c:v>
                </c:pt>
                <c:pt idx="14">
                  <c:v>61</c:v>
                </c:pt>
                <c:pt idx="15">
                  <c:v>62</c:v>
                </c:pt>
                <c:pt idx="16">
                  <c:v>31</c:v>
                </c:pt>
                <c:pt idx="17">
                  <c:v>91</c:v>
                </c:pt>
                <c:pt idx="18">
                  <c:v>61</c:v>
                </c:pt>
                <c:pt idx="19">
                  <c:v>30</c:v>
                </c:pt>
                <c:pt idx="20">
                  <c:v>17</c:v>
                </c:pt>
                <c:pt idx="21">
                  <c:v>0</c:v>
                </c:pt>
                <c:pt idx="22">
                  <c:v>517</c:v>
                </c:pt>
                <c:pt idx="23">
                  <c:v>31</c:v>
                </c:pt>
                <c:pt idx="24">
                  <c:v>30</c:v>
                </c:pt>
                <c:pt idx="25">
                  <c:v>91</c:v>
                </c:pt>
                <c:pt idx="26">
                  <c:v>60</c:v>
                </c:pt>
                <c:pt idx="27">
                  <c:v>0</c:v>
                </c:pt>
                <c:pt idx="28">
                  <c:v>485</c:v>
                </c:pt>
                <c:pt idx="29">
                  <c:v>12</c:v>
                </c:pt>
                <c:pt idx="30">
                  <c:v>12</c:v>
                </c:pt>
                <c:pt idx="31">
                  <c:v>61</c:v>
                </c:pt>
                <c:pt idx="32">
                  <c:v>14</c:v>
                </c:pt>
                <c:pt idx="33">
                  <c:v>31</c:v>
                </c:pt>
                <c:pt idx="34">
                  <c:v>56</c:v>
                </c:pt>
                <c:pt idx="35">
                  <c:v>30</c:v>
                </c:pt>
                <c:pt idx="36">
                  <c:v>15</c:v>
                </c:pt>
                <c:pt idx="37">
                  <c:v>0</c:v>
                </c:pt>
                <c:pt idx="38">
                  <c:v>7</c:v>
                </c:pt>
                <c:pt idx="3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4313-4C1B-83D6-28AE4E340A66}"/>
            </c:ext>
          </c:extLst>
        </c:ser>
        <c:ser>
          <c:idx val="1"/>
          <c:order val="2"/>
          <c:tx>
            <c:strRef>
              <c:f>Modeler!$L$4</c:f>
              <c:strCache>
                <c:ptCount val="1"/>
                <c:pt idx="0">
                  <c:v>Plug</c:v>
                </c:pt>
              </c:strCache>
            </c:strRef>
          </c:tx>
          <c:spPr>
            <a:pattFill prst="ltUpDiag">
              <a:fgClr>
                <a:schemeClr val="tx1"/>
              </a:fgClr>
              <a:bgClr>
                <a:schemeClr val="bg1"/>
              </a:bgClr>
            </a:pattFill>
            <a:ln w="3175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Modeler!$C$5:$C$46</c:f>
              <c:strCache>
                <c:ptCount val="41"/>
                <c:pt idx="1">
                  <c:v>DATA GATHERING</c:v>
                </c:pt>
                <c:pt idx="2">
                  <c:v>Seismic Acquisition / Interpretation</c:v>
                </c:pt>
                <c:pt idx="3">
                  <c:v>Geologic Model</c:v>
                </c:pt>
                <c:pt idx="4">
                  <c:v>Reservoir Model</c:v>
                </c:pt>
                <c:pt idx="5">
                  <c:v>- Well Spacing/Temp/Rate Model - 20MW</c:v>
                </c:pt>
                <c:pt idx="6">
                  <c:v>- 20MW Full Simulation</c:v>
                </c:pt>
                <c:pt idx="7">
                  <c:v>- 20MW Development Plan</c:v>
                </c:pt>
                <c:pt idx="8">
                  <c:v>Reservoir Test Analysis - Pure #1</c:v>
                </c:pt>
                <c:pt idx="9">
                  <c:v>Core Analysis - Water Oak #1-1PV</c:v>
                </c:pt>
                <c:pt idx="10">
                  <c:v>Reservoir Test Analysis - Water Oak #1 - 1PV</c:v>
                </c:pt>
                <c:pt idx="11">
                  <c:v>0</c:v>
                </c:pt>
                <c:pt idx="12">
                  <c:v>PURE #1 ACTIVITIES</c:v>
                </c:pt>
                <c:pt idx="13">
                  <c:v>Acquisition</c:v>
                </c:pt>
                <c:pt idx="14">
                  <c:v>SUA &amp; Damages</c:v>
                </c:pt>
                <c:pt idx="15">
                  <c:v>Surface Site Prep, Facilities Repair &amp; Gas Mktg</c:v>
                </c:pt>
                <c:pt idx="16">
                  <c:v>Workover/Re-Entry</c:v>
                </c:pt>
                <c:pt idx="17">
                  <c:v>Flow Test</c:v>
                </c:pt>
                <c:pt idx="18">
                  <c:v>Conversion Workover - Ops Planning</c:v>
                </c:pt>
                <c:pt idx="19">
                  <c:v>Permitting for Conversion</c:v>
                </c:pt>
                <c:pt idx="20">
                  <c:v>Conversion Workover</c:v>
                </c:pt>
                <c:pt idx="21">
                  <c:v>0</c:v>
                </c:pt>
                <c:pt idx="22">
                  <c:v>PURE #1D ACTIVITIES</c:v>
                </c:pt>
                <c:pt idx="23">
                  <c:v>Acquisition</c:v>
                </c:pt>
                <c:pt idx="24">
                  <c:v>Surface Site Prep, Facilities Repair &amp; Injection Testing</c:v>
                </c:pt>
                <c:pt idx="25">
                  <c:v>Disposal Operations</c:v>
                </c:pt>
                <c:pt idx="26">
                  <c:v>Surface Equipment Removal</c:v>
                </c:pt>
                <c:pt idx="27">
                  <c:v>0</c:v>
                </c:pt>
                <c:pt idx="28">
                  <c:v>WATER OAK 1 P011CR</c:v>
                </c:pt>
                <c:pt idx="29">
                  <c:v>OCTG Order</c:v>
                </c:pt>
                <c:pt idx="30">
                  <c:v>Wellhead Order</c:v>
                </c:pt>
                <c:pt idx="31">
                  <c:v>Land Work, SUA &amp; Damages</c:v>
                </c:pt>
                <c:pt idx="32">
                  <c:v>Environmental &amp; Permitting</c:v>
                </c:pt>
                <c:pt idx="33">
                  <c:v>Pad Construction &amp; Conductor</c:v>
                </c:pt>
                <c:pt idx="34">
                  <c:v>Final Drill Plan and DWOP</c:v>
                </c:pt>
                <c:pt idx="35">
                  <c:v>Drill to core point</c:v>
                </c:pt>
                <c:pt idx="36">
                  <c:v>Core, Log &amp; Run Pipe</c:v>
                </c:pt>
                <c:pt idx="37">
                  <c:v>Wait on data processing for log &amp; core</c:v>
                </c:pt>
                <c:pt idx="38">
                  <c:v>Completion Planning &amp; CWOP</c:v>
                </c:pt>
                <c:pt idx="39">
                  <c:v>Completion Operations</c:v>
                </c:pt>
                <c:pt idx="40">
                  <c:v>Perforate and DFIT's (5 intervals)</c:v>
                </c:pt>
              </c:strCache>
            </c:strRef>
          </c:cat>
          <c:val>
            <c:numRef>
              <c:f>Modeler!$H$5:$H$41</c:f>
              <c:numCache>
                <c:formatCode>General</c:formatCode>
                <c:ptCount val="36"/>
                <c:pt idx="1">
                  <c:v>0</c:v>
                </c:pt>
                <c:pt idx="2">
                  <c:v>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106</c:v>
                </c:pt>
                <c:pt idx="32">
                  <c:v>60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6F-4528-A5C2-4928FE99ACA9}"/>
            </c:ext>
          </c:extLst>
        </c:ser>
        <c:ser>
          <c:idx val="2"/>
          <c:order val="3"/>
          <c:tx>
            <c:strRef>
              <c:f>Modeler!$N$4</c:f>
              <c:strCache>
                <c:ptCount val="1"/>
                <c:pt idx="0">
                  <c:v>DT Plug</c:v>
                </c:pt>
              </c:strCache>
            </c:strRef>
          </c:tx>
          <c:spPr>
            <a:noFill/>
            <a:ln w="25400">
              <a:noFill/>
            </a:ln>
          </c:spPr>
          <c:invertIfNegative val="0"/>
          <c:cat>
            <c:strRef>
              <c:f>Modeler!$C$5:$C$46</c:f>
              <c:strCache>
                <c:ptCount val="41"/>
                <c:pt idx="1">
                  <c:v>DATA GATHERING</c:v>
                </c:pt>
                <c:pt idx="2">
                  <c:v>Seismic Acquisition / Interpretation</c:v>
                </c:pt>
                <c:pt idx="3">
                  <c:v>Geologic Model</c:v>
                </c:pt>
                <c:pt idx="4">
                  <c:v>Reservoir Model</c:v>
                </c:pt>
                <c:pt idx="5">
                  <c:v>- Well Spacing/Temp/Rate Model - 20MW</c:v>
                </c:pt>
                <c:pt idx="6">
                  <c:v>- 20MW Full Simulation</c:v>
                </c:pt>
                <c:pt idx="7">
                  <c:v>- 20MW Development Plan</c:v>
                </c:pt>
                <c:pt idx="8">
                  <c:v>Reservoir Test Analysis - Pure #1</c:v>
                </c:pt>
                <c:pt idx="9">
                  <c:v>Core Analysis - Water Oak #1-1PV</c:v>
                </c:pt>
                <c:pt idx="10">
                  <c:v>Reservoir Test Analysis - Water Oak #1 - 1PV</c:v>
                </c:pt>
                <c:pt idx="11">
                  <c:v>0</c:v>
                </c:pt>
                <c:pt idx="12">
                  <c:v>PURE #1 ACTIVITIES</c:v>
                </c:pt>
                <c:pt idx="13">
                  <c:v>Acquisition</c:v>
                </c:pt>
                <c:pt idx="14">
                  <c:v>SUA &amp; Damages</c:v>
                </c:pt>
                <c:pt idx="15">
                  <c:v>Surface Site Prep, Facilities Repair &amp; Gas Mktg</c:v>
                </c:pt>
                <c:pt idx="16">
                  <c:v>Workover/Re-Entry</c:v>
                </c:pt>
                <c:pt idx="17">
                  <c:v>Flow Test</c:v>
                </c:pt>
                <c:pt idx="18">
                  <c:v>Conversion Workover - Ops Planning</c:v>
                </c:pt>
                <c:pt idx="19">
                  <c:v>Permitting for Conversion</c:v>
                </c:pt>
                <c:pt idx="20">
                  <c:v>Conversion Workover</c:v>
                </c:pt>
                <c:pt idx="21">
                  <c:v>0</c:v>
                </c:pt>
                <c:pt idx="22">
                  <c:v>PURE #1D ACTIVITIES</c:v>
                </c:pt>
                <c:pt idx="23">
                  <c:v>Acquisition</c:v>
                </c:pt>
                <c:pt idx="24">
                  <c:v>Surface Site Prep, Facilities Repair &amp; Injection Testing</c:v>
                </c:pt>
                <c:pt idx="25">
                  <c:v>Disposal Operations</c:v>
                </c:pt>
                <c:pt idx="26">
                  <c:v>Surface Equipment Removal</c:v>
                </c:pt>
                <c:pt idx="27">
                  <c:v>0</c:v>
                </c:pt>
                <c:pt idx="28">
                  <c:v>WATER OAK 1 P011CR</c:v>
                </c:pt>
                <c:pt idx="29">
                  <c:v>OCTG Order</c:v>
                </c:pt>
                <c:pt idx="30">
                  <c:v>Wellhead Order</c:v>
                </c:pt>
                <c:pt idx="31">
                  <c:v>Land Work, SUA &amp; Damages</c:v>
                </c:pt>
                <c:pt idx="32">
                  <c:v>Environmental &amp; Permitting</c:v>
                </c:pt>
                <c:pt idx="33">
                  <c:v>Pad Construction &amp; Conductor</c:v>
                </c:pt>
                <c:pt idx="34">
                  <c:v>Final Drill Plan and DWOP</c:v>
                </c:pt>
                <c:pt idx="35">
                  <c:v>Drill to core point</c:v>
                </c:pt>
                <c:pt idx="36">
                  <c:v>Core, Log &amp; Run Pipe</c:v>
                </c:pt>
                <c:pt idx="37">
                  <c:v>Wait on data processing for log &amp; core</c:v>
                </c:pt>
                <c:pt idx="38">
                  <c:v>Completion Planning &amp; CWOP</c:v>
                </c:pt>
                <c:pt idx="39">
                  <c:v>Completion Operations</c:v>
                </c:pt>
                <c:pt idx="40">
                  <c:v>Perforate and DFIT's (5 intervals)</c:v>
                </c:pt>
              </c:strCache>
            </c:strRef>
          </c:cat>
          <c:val>
            <c:numRef>
              <c:f>Modeler!$I$5:$I$41</c:f>
              <c:numCache>
                <c:formatCode>General</c:formatCode>
                <c:ptCount val="3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6F-4528-A5C2-4928FE99ACA9}"/>
            </c:ext>
          </c:extLst>
        </c:ser>
        <c:ser>
          <c:idx val="3"/>
          <c:order val="4"/>
          <c:tx>
            <c:strRef>
              <c:f>Modeler!$O$4</c:f>
              <c:strCache>
                <c:ptCount val="1"/>
                <c:pt idx="0">
                  <c:v>Polish</c:v>
                </c:pt>
              </c:strCache>
            </c:strRef>
          </c:tx>
          <c:spPr>
            <a:pattFill prst="ltDnDiag">
              <a:fgClr>
                <a:schemeClr val="tx1"/>
              </a:fgClr>
              <a:bgClr>
                <a:schemeClr val="bg1"/>
              </a:bgClr>
            </a:pattFill>
            <a:ln w="3175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Modeler!$C$5:$C$46</c:f>
              <c:strCache>
                <c:ptCount val="41"/>
                <c:pt idx="1">
                  <c:v>DATA GATHERING</c:v>
                </c:pt>
                <c:pt idx="2">
                  <c:v>Seismic Acquisition / Interpretation</c:v>
                </c:pt>
                <c:pt idx="3">
                  <c:v>Geologic Model</c:v>
                </c:pt>
                <c:pt idx="4">
                  <c:v>Reservoir Model</c:v>
                </c:pt>
                <c:pt idx="5">
                  <c:v>- Well Spacing/Temp/Rate Model - 20MW</c:v>
                </c:pt>
                <c:pt idx="6">
                  <c:v>- 20MW Full Simulation</c:v>
                </c:pt>
                <c:pt idx="7">
                  <c:v>- 20MW Development Plan</c:v>
                </c:pt>
                <c:pt idx="8">
                  <c:v>Reservoir Test Analysis - Pure #1</c:v>
                </c:pt>
                <c:pt idx="9">
                  <c:v>Core Analysis - Water Oak #1-1PV</c:v>
                </c:pt>
                <c:pt idx="10">
                  <c:v>Reservoir Test Analysis - Water Oak #1 - 1PV</c:v>
                </c:pt>
                <c:pt idx="11">
                  <c:v>0</c:v>
                </c:pt>
                <c:pt idx="12">
                  <c:v>PURE #1 ACTIVITIES</c:v>
                </c:pt>
                <c:pt idx="13">
                  <c:v>Acquisition</c:v>
                </c:pt>
                <c:pt idx="14">
                  <c:v>SUA &amp; Damages</c:v>
                </c:pt>
                <c:pt idx="15">
                  <c:v>Surface Site Prep, Facilities Repair &amp; Gas Mktg</c:v>
                </c:pt>
                <c:pt idx="16">
                  <c:v>Workover/Re-Entry</c:v>
                </c:pt>
                <c:pt idx="17">
                  <c:v>Flow Test</c:v>
                </c:pt>
                <c:pt idx="18">
                  <c:v>Conversion Workover - Ops Planning</c:v>
                </c:pt>
                <c:pt idx="19">
                  <c:v>Permitting for Conversion</c:v>
                </c:pt>
                <c:pt idx="20">
                  <c:v>Conversion Workover</c:v>
                </c:pt>
                <c:pt idx="21">
                  <c:v>0</c:v>
                </c:pt>
                <c:pt idx="22">
                  <c:v>PURE #1D ACTIVITIES</c:v>
                </c:pt>
                <c:pt idx="23">
                  <c:v>Acquisition</c:v>
                </c:pt>
                <c:pt idx="24">
                  <c:v>Surface Site Prep, Facilities Repair &amp; Injection Testing</c:v>
                </c:pt>
                <c:pt idx="25">
                  <c:v>Disposal Operations</c:v>
                </c:pt>
                <c:pt idx="26">
                  <c:v>Surface Equipment Removal</c:v>
                </c:pt>
                <c:pt idx="27">
                  <c:v>0</c:v>
                </c:pt>
                <c:pt idx="28">
                  <c:v>WATER OAK 1 P011CR</c:v>
                </c:pt>
                <c:pt idx="29">
                  <c:v>OCTG Order</c:v>
                </c:pt>
                <c:pt idx="30">
                  <c:v>Wellhead Order</c:v>
                </c:pt>
                <c:pt idx="31">
                  <c:v>Land Work, SUA &amp; Damages</c:v>
                </c:pt>
                <c:pt idx="32">
                  <c:v>Environmental &amp; Permitting</c:v>
                </c:pt>
                <c:pt idx="33">
                  <c:v>Pad Construction &amp; Conductor</c:v>
                </c:pt>
                <c:pt idx="34">
                  <c:v>Final Drill Plan and DWOP</c:v>
                </c:pt>
                <c:pt idx="35">
                  <c:v>Drill to core point</c:v>
                </c:pt>
                <c:pt idx="36">
                  <c:v>Core, Log &amp; Run Pipe</c:v>
                </c:pt>
                <c:pt idx="37">
                  <c:v>Wait on data processing for log &amp; core</c:v>
                </c:pt>
                <c:pt idx="38">
                  <c:v>Completion Planning &amp; CWOP</c:v>
                </c:pt>
                <c:pt idx="39">
                  <c:v>Completion Operations</c:v>
                </c:pt>
                <c:pt idx="40">
                  <c:v>Perforate and DFIT's (5 intervals)</c:v>
                </c:pt>
              </c:strCache>
            </c:strRef>
          </c:cat>
          <c:val>
            <c:numRef>
              <c:f>Modeler!$K$5:$K$46</c:f>
              <c:numCache>
                <c:formatCode>General</c:formatCode>
                <c:ptCount val="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C6F-4528-A5C2-4928FE99ACA9}"/>
            </c:ext>
          </c:extLst>
        </c:ser>
        <c:ser>
          <c:idx val="4"/>
          <c:order val="5"/>
          <c:tx>
            <c:strRef>
              <c:f>Modeler!$Q$4</c:f>
              <c:strCache>
                <c:ptCount val="1"/>
                <c:pt idx="0">
                  <c:v>DT Polish</c:v>
                </c:pt>
              </c:strCache>
            </c:strRef>
          </c:tx>
          <c:spPr>
            <a:noFill/>
            <a:ln w="25400">
              <a:noFill/>
            </a:ln>
          </c:spPr>
          <c:invertIfNegative val="0"/>
          <c:cat>
            <c:strRef>
              <c:f>Modeler!$C$5:$C$46</c:f>
              <c:strCache>
                <c:ptCount val="41"/>
                <c:pt idx="1">
                  <c:v>DATA GATHERING</c:v>
                </c:pt>
                <c:pt idx="2">
                  <c:v>Seismic Acquisition / Interpretation</c:v>
                </c:pt>
                <c:pt idx="3">
                  <c:v>Geologic Model</c:v>
                </c:pt>
                <c:pt idx="4">
                  <c:v>Reservoir Model</c:v>
                </c:pt>
                <c:pt idx="5">
                  <c:v>- Well Spacing/Temp/Rate Model - 20MW</c:v>
                </c:pt>
                <c:pt idx="6">
                  <c:v>- 20MW Full Simulation</c:v>
                </c:pt>
                <c:pt idx="7">
                  <c:v>- 20MW Development Plan</c:v>
                </c:pt>
                <c:pt idx="8">
                  <c:v>Reservoir Test Analysis - Pure #1</c:v>
                </c:pt>
                <c:pt idx="9">
                  <c:v>Core Analysis - Water Oak #1-1PV</c:v>
                </c:pt>
                <c:pt idx="10">
                  <c:v>Reservoir Test Analysis - Water Oak #1 - 1PV</c:v>
                </c:pt>
                <c:pt idx="11">
                  <c:v>0</c:v>
                </c:pt>
                <c:pt idx="12">
                  <c:v>PURE #1 ACTIVITIES</c:v>
                </c:pt>
                <c:pt idx="13">
                  <c:v>Acquisition</c:v>
                </c:pt>
                <c:pt idx="14">
                  <c:v>SUA &amp; Damages</c:v>
                </c:pt>
                <c:pt idx="15">
                  <c:v>Surface Site Prep, Facilities Repair &amp; Gas Mktg</c:v>
                </c:pt>
                <c:pt idx="16">
                  <c:v>Workover/Re-Entry</c:v>
                </c:pt>
                <c:pt idx="17">
                  <c:v>Flow Test</c:v>
                </c:pt>
                <c:pt idx="18">
                  <c:v>Conversion Workover - Ops Planning</c:v>
                </c:pt>
                <c:pt idx="19">
                  <c:v>Permitting for Conversion</c:v>
                </c:pt>
                <c:pt idx="20">
                  <c:v>Conversion Workover</c:v>
                </c:pt>
                <c:pt idx="21">
                  <c:v>0</c:v>
                </c:pt>
                <c:pt idx="22">
                  <c:v>PURE #1D ACTIVITIES</c:v>
                </c:pt>
                <c:pt idx="23">
                  <c:v>Acquisition</c:v>
                </c:pt>
                <c:pt idx="24">
                  <c:v>Surface Site Prep, Facilities Repair &amp; Injection Testing</c:v>
                </c:pt>
                <c:pt idx="25">
                  <c:v>Disposal Operations</c:v>
                </c:pt>
                <c:pt idx="26">
                  <c:v>Surface Equipment Removal</c:v>
                </c:pt>
                <c:pt idx="27">
                  <c:v>0</c:v>
                </c:pt>
                <c:pt idx="28">
                  <c:v>WATER OAK 1 P011CR</c:v>
                </c:pt>
                <c:pt idx="29">
                  <c:v>OCTG Order</c:v>
                </c:pt>
                <c:pt idx="30">
                  <c:v>Wellhead Order</c:v>
                </c:pt>
                <c:pt idx="31">
                  <c:v>Land Work, SUA &amp; Damages</c:v>
                </c:pt>
                <c:pt idx="32">
                  <c:v>Environmental &amp; Permitting</c:v>
                </c:pt>
                <c:pt idx="33">
                  <c:v>Pad Construction &amp; Conductor</c:v>
                </c:pt>
                <c:pt idx="34">
                  <c:v>Final Drill Plan and DWOP</c:v>
                </c:pt>
                <c:pt idx="35">
                  <c:v>Drill to core point</c:v>
                </c:pt>
                <c:pt idx="36">
                  <c:v>Core, Log &amp; Run Pipe</c:v>
                </c:pt>
                <c:pt idx="37">
                  <c:v>Wait on data processing for log &amp; core</c:v>
                </c:pt>
                <c:pt idx="38">
                  <c:v>Completion Planning &amp; CWOP</c:v>
                </c:pt>
                <c:pt idx="39">
                  <c:v>Completion Operations</c:v>
                </c:pt>
                <c:pt idx="40">
                  <c:v>Perforate and DFIT's (5 intervals)</c:v>
                </c:pt>
              </c:strCache>
            </c:strRef>
          </c:cat>
          <c:val>
            <c:numRef>
              <c:f>Modeler!$L$5:$L$46</c:f>
              <c:numCache>
                <c:formatCode>[$-409]d\-mmm\-yy;@</c:formatCode>
                <c:ptCount val="41"/>
                <c:pt idx="1">
                  <c:v>0</c:v>
                </c:pt>
                <c:pt idx="2">
                  <c:v>44835</c:v>
                </c:pt>
                <c:pt idx="3">
                  <c:v>44896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C6F-4528-A5C2-4928FE99ACA9}"/>
            </c:ext>
          </c:extLst>
        </c:ser>
        <c:ser>
          <c:idx val="5"/>
          <c:order val="6"/>
          <c:tx>
            <c:strRef>
              <c:f>Modeler!$R$4</c:f>
              <c:strCache>
                <c:ptCount val="1"/>
                <c:pt idx="0">
                  <c:v>String</c:v>
                </c:pt>
              </c:strCache>
            </c:strRef>
          </c:tx>
          <c:spPr>
            <a:solidFill>
              <a:srgbClr val="FFC000"/>
            </a:solidFill>
            <a:ln w="3175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Modeler!$C$5:$C$46</c:f>
              <c:strCache>
                <c:ptCount val="41"/>
                <c:pt idx="1">
                  <c:v>DATA GATHERING</c:v>
                </c:pt>
                <c:pt idx="2">
                  <c:v>Seismic Acquisition / Interpretation</c:v>
                </c:pt>
                <c:pt idx="3">
                  <c:v>Geologic Model</c:v>
                </c:pt>
                <c:pt idx="4">
                  <c:v>Reservoir Model</c:v>
                </c:pt>
                <c:pt idx="5">
                  <c:v>- Well Spacing/Temp/Rate Model - 20MW</c:v>
                </c:pt>
                <c:pt idx="6">
                  <c:v>- 20MW Full Simulation</c:v>
                </c:pt>
                <c:pt idx="7">
                  <c:v>- 20MW Development Plan</c:v>
                </c:pt>
                <c:pt idx="8">
                  <c:v>Reservoir Test Analysis - Pure #1</c:v>
                </c:pt>
                <c:pt idx="9">
                  <c:v>Core Analysis - Water Oak #1-1PV</c:v>
                </c:pt>
                <c:pt idx="10">
                  <c:v>Reservoir Test Analysis - Water Oak #1 - 1PV</c:v>
                </c:pt>
                <c:pt idx="11">
                  <c:v>0</c:v>
                </c:pt>
                <c:pt idx="12">
                  <c:v>PURE #1 ACTIVITIES</c:v>
                </c:pt>
                <c:pt idx="13">
                  <c:v>Acquisition</c:v>
                </c:pt>
                <c:pt idx="14">
                  <c:v>SUA &amp; Damages</c:v>
                </c:pt>
                <c:pt idx="15">
                  <c:v>Surface Site Prep, Facilities Repair &amp; Gas Mktg</c:v>
                </c:pt>
                <c:pt idx="16">
                  <c:v>Workover/Re-Entry</c:v>
                </c:pt>
                <c:pt idx="17">
                  <c:v>Flow Test</c:v>
                </c:pt>
                <c:pt idx="18">
                  <c:v>Conversion Workover - Ops Planning</c:v>
                </c:pt>
                <c:pt idx="19">
                  <c:v>Permitting for Conversion</c:v>
                </c:pt>
                <c:pt idx="20">
                  <c:v>Conversion Workover</c:v>
                </c:pt>
                <c:pt idx="21">
                  <c:v>0</c:v>
                </c:pt>
                <c:pt idx="22">
                  <c:v>PURE #1D ACTIVITIES</c:v>
                </c:pt>
                <c:pt idx="23">
                  <c:v>Acquisition</c:v>
                </c:pt>
                <c:pt idx="24">
                  <c:v>Surface Site Prep, Facilities Repair &amp; Injection Testing</c:v>
                </c:pt>
                <c:pt idx="25">
                  <c:v>Disposal Operations</c:v>
                </c:pt>
                <c:pt idx="26">
                  <c:v>Surface Equipment Removal</c:v>
                </c:pt>
                <c:pt idx="27">
                  <c:v>0</c:v>
                </c:pt>
                <c:pt idx="28">
                  <c:v>WATER OAK 1 P011CR</c:v>
                </c:pt>
                <c:pt idx="29">
                  <c:v>OCTG Order</c:v>
                </c:pt>
                <c:pt idx="30">
                  <c:v>Wellhead Order</c:v>
                </c:pt>
                <c:pt idx="31">
                  <c:v>Land Work, SUA &amp; Damages</c:v>
                </c:pt>
                <c:pt idx="32">
                  <c:v>Environmental &amp; Permitting</c:v>
                </c:pt>
                <c:pt idx="33">
                  <c:v>Pad Construction &amp; Conductor</c:v>
                </c:pt>
                <c:pt idx="34">
                  <c:v>Final Drill Plan and DWOP</c:v>
                </c:pt>
                <c:pt idx="35">
                  <c:v>Drill to core point</c:v>
                </c:pt>
                <c:pt idx="36">
                  <c:v>Core, Log &amp; Run Pipe</c:v>
                </c:pt>
                <c:pt idx="37">
                  <c:v>Wait on data processing for log &amp; core</c:v>
                </c:pt>
                <c:pt idx="38">
                  <c:v>Completion Planning &amp; CWOP</c:v>
                </c:pt>
                <c:pt idx="39">
                  <c:v>Completion Operations</c:v>
                </c:pt>
                <c:pt idx="40">
                  <c:v>Perforate and DFIT's (5 intervals)</c:v>
                </c:pt>
              </c:strCache>
            </c:strRef>
          </c:cat>
          <c:val>
            <c:numRef>
              <c:f>Modeler!$N$5:$N$46</c:f>
              <c:numCache>
                <c:formatCode>#,##0</c:formatCode>
                <c:ptCount val="41"/>
                <c:pt idx="1">
                  <c:v>0</c:v>
                </c:pt>
                <c:pt idx="2">
                  <c:v>0</c:v>
                </c:pt>
                <c:pt idx="3">
                  <c:v>-2092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C6F-4528-A5C2-4928FE99ACA9}"/>
            </c:ext>
          </c:extLst>
        </c:ser>
        <c:ser>
          <c:idx val="6"/>
          <c:order val="7"/>
          <c:tx>
            <c:strRef>
              <c:f>Modeler!$T$4</c:f>
              <c:strCache>
                <c:ptCount val="1"/>
                <c:pt idx="0">
                  <c:v>Run</c:v>
                </c:pt>
              </c:strCache>
            </c:strRef>
          </c:tx>
          <c:spPr>
            <a:noFill/>
            <a:ln w="3175">
              <a:noFill/>
              <a:prstDash val="solid"/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5C6F-4528-A5C2-4928FE99ACA9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5C6F-4528-A5C2-4928FE99ACA9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5C6F-4528-A5C2-4928FE99ACA9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5C6F-4528-A5C2-4928FE99ACA9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5C6F-4528-A5C2-4928FE99ACA9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5C6F-4528-A5C2-4928FE99ACA9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5C6F-4528-A5C2-4928FE99ACA9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5C6F-4528-A5C2-4928FE99ACA9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7-5C6F-4528-A5C2-4928FE99ACA9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9-5C6F-4528-A5C2-4928FE99ACA9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B-5C6F-4528-A5C2-4928FE99ACA9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5C6F-4528-A5C2-4928FE99ACA9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5C6F-4528-A5C2-4928FE99ACA9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1-5C6F-4528-A5C2-4928FE99ACA9}"/>
              </c:ext>
            </c:extLst>
          </c:dPt>
          <c:cat>
            <c:strRef>
              <c:f>Modeler!$C$5:$C$46</c:f>
              <c:strCache>
                <c:ptCount val="41"/>
                <c:pt idx="1">
                  <c:v>DATA GATHERING</c:v>
                </c:pt>
                <c:pt idx="2">
                  <c:v>Seismic Acquisition / Interpretation</c:v>
                </c:pt>
                <c:pt idx="3">
                  <c:v>Geologic Model</c:v>
                </c:pt>
                <c:pt idx="4">
                  <c:v>Reservoir Model</c:v>
                </c:pt>
                <c:pt idx="5">
                  <c:v>- Well Spacing/Temp/Rate Model - 20MW</c:v>
                </c:pt>
                <c:pt idx="6">
                  <c:v>- 20MW Full Simulation</c:v>
                </c:pt>
                <c:pt idx="7">
                  <c:v>- 20MW Development Plan</c:v>
                </c:pt>
                <c:pt idx="8">
                  <c:v>Reservoir Test Analysis - Pure #1</c:v>
                </c:pt>
                <c:pt idx="9">
                  <c:v>Core Analysis - Water Oak #1-1PV</c:v>
                </c:pt>
                <c:pt idx="10">
                  <c:v>Reservoir Test Analysis - Water Oak #1 - 1PV</c:v>
                </c:pt>
                <c:pt idx="11">
                  <c:v>0</c:v>
                </c:pt>
                <c:pt idx="12">
                  <c:v>PURE #1 ACTIVITIES</c:v>
                </c:pt>
                <c:pt idx="13">
                  <c:v>Acquisition</c:v>
                </c:pt>
                <c:pt idx="14">
                  <c:v>SUA &amp; Damages</c:v>
                </c:pt>
                <c:pt idx="15">
                  <c:v>Surface Site Prep, Facilities Repair &amp; Gas Mktg</c:v>
                </c:pt>
                <c:pt idx="16">
                  <c:v>Workover/Re-Entry</c:v>
                </c:pt>
                <c:pt idx="17">
                  <c:v>Flow Test</c:v>
                </c:pt>
                <c:pt idx="18">
                  <c:v>Conversion Workover - Ops Planning</c:v>
                </c:pt>
                <c:pt idx="19">
                  <c:v>Permitting for Conversion</c:v>
                </c:pt>
                <c:pt idx="20">
                  <c:v>Conversion Workover</c:v>
                </c:pt>
                <c:pt idx="21">
                  <c:v>0</c:v>
                </c:pt>
                <c:pt idx="22">
                  <c:v>PURE #1D ACTIVITIES</c:v>
                </c:pt>
                <c:pt idx="23">
                  <c:v>Acquisition</c:v>
                </c:pt>
                <c:pt idx="24">
                  <c:v>Surface Site Prep, Facilities Repair &amp; Injection Testing</c:v>
                </c:pt>
                <c:pt idx="25">
                  <c:v>Disposal Operations</c:v>
                </c:pt>
                <c:pt idx="26">
                  <c:v>Surface Equipment Removal</c:v>
                </c:pt>
                <c:pt idx="27">
                  <c:v>0</c:v>
                </c:pt>
                <c:pt idx="28">
                  <c:v>WATER OAK 1 P011CR</c:v>
                </c:pt>
                <c:pt idx="29">
                  <c:v>OCTG Order</c:v>
                </c:pt>
                <c:pt idx="30">
                  <c:v>Wellhead Order</c:v>
                </c:pt>
                <c:pt idx="31">
                  <c:v>Land Work, SUA &amp; Damages</c:v>
                </c:pt>
                <c:pt idx="32">
                  <c:v>Environmental &amp; Permitting</c:v>
                </c:pt>
                <c:pt idx="33">
                  <c:v>Pad Construction &amp; Conductor</c:v>
                </c:pt>
                <c:pt idx="34">
                  <c:v>Final Drill Plan and DWOP</c:v>
                </c:pt>
                <c:pt idx="35">
                  <c:v>Drill to core point</c:v>
                </c:pt>
                <c:pt idx="36">
                  <c:v>Core, Log &amp; Run Pipe</c:v>
                </c:pt>
                <c:pt idx="37">
                  <c:v>Wait on data processing for log &amp; core</c:v>
                </c:pt>
                <c:pt idx="38">
                  <c:v>Completion Planning &amp; CWOP</c:v>
                </c:pt>
                <c:pt idx="39">
                  <c:v>Completion Operations</c:v>
                </c:pt>
                <c:pt idx="40">
                  <c:v>Perforate and DFIT's (5 intervals)</c:v>
                </c:pt>
              </c:strCache>
            </c:strRef>
          </c:cat>
          <c:val>
            <c:numRef>
              <c:f>Modeler!$O$5:$O$46</c:f>
              <c:numCache>
                <c:formatCode>[$-409]d\-mmm\-yy;@</c:formatCode>
                <c:ptCount val="41"/>
                <c:pt idx="1">
                  <c:v>0</c:v>
                </c:pt>
                <c:pt idx="2">
                  <c:v>44835</c:v>
                </c:pt>
                <c:pt idx="3">
                  <c:v>42804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5C6F-4528-A5C2-4928FE99ACA9}"/>
            </c:ext>
          </c:extLst>
        </c:ser>
        <c:ser>
          <c:idx val="7"/>
          <c:order val="8"/>
          <c:tx>
            <c:strRef>
              <c:f>Modeler!$U$4</c:f>
              <c:strCache>
                <c:ptCount val="1"/>
                <c:pt idx="0">
                  <c:v>Run Days</c:v>
                </c:pt>
              </c:strCache>
            </c:strRef>
          </c:tx>
          <c:spPr>
            <a:solidFill>
              <a:srgbClr val="00FFFF"/>
            </a:solidFill>
            <a:ln w="3175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Modeler!$C$5:$C$46</c:f>
              <c:strCache>
                <c:ptCount val="41"/>
                <c:pt idx="1">
                  <c:v>DATA GATHERING</c:v>
                </c:pt>
                <c:pt idx="2">
                  <c:v>Seismic Acquisition / Interpretation</c:v>
                </c:pt>
                <c:pt idx="3">
                  <c:v>Geologic Model</c:v>
                </c:pt>
                <c:pt idx="4">
                  <c:v>Reservoir Model</c:v>
                </c:pt>
                <c:pt idx="5">
                  <c:v>- Well Spacing/Temp/Rate Model - 20MW</c:v>
                </c:pt>
                <c:pt idx="6">
                  <c:v>- 20MW Full Simulation</c:v>
                </c:pt>
                <c:pt idx="7">
                  <c:v>- 20MW Development Plan</c:v>
                </c:pt>
                <c:pt idx="8">
                  <c:v>Reservoir Test Analysis - Pure #1</c:v>
                </c:pt>
                <c:pt idx="9">
                  <c:v>Core Analysis - Water Oak #1-1PV</c:v>
                </c:pt>
                <c:pt idx="10">
                  <c:v>Reservoir Test Analysis - Water Oak #1 - 1PV</c:v>
                </c:pt>
                <c:pt idx="11">
                  <c:v>0</c:v>
                </c:pt>
                <c:pt idx="12">
                  <c:v>PURE #1 ACTIVITIES</c:v>
                </c:pt>
                <c:pt idx="13">
                  <c:v>Acquisition</c:v>
                </c:pt>
                <c:pt idx="14">
                  <c:v>SUA &amp; Damages</c:v>
                </c:pt>
                <c:pt idx="15">
                  <c:v>Surface Site Prep, Facilities Repair &amp; Gas Mktg</c:v>
                </c:pt>
                <c:pt idx="16">
                  <c:v>Workover/Re-Entry</c:v>
                </c:pt>
                <c:pt idx="17">
                  <c:v>Flow Test</c:v>
                </c:pt>
                <c:pt idx="18">
                  <c:v>Conversion Workover - Ops Planning</c:v>
                </c:pt>
                <c:pt idx="19">
                  <c:v>Permitting for Conversion</c:v>
                </c:pt>
                <c:pt idx="20">
                  <c:v>Conversion Workover</c:v>
                </c:pt>
                <c:pt idx="21">
                  <c:v>0</c:v>
                </c:pt>
                <c:pt idx="22">
                  <c:v>PURE #1D ACTIVITIES</c:v>
                </c:pt>
                <c:pt idx="23">
                  <c:v>Acquisition</c:v>
                </c:pt>
                <c:pt idx="24">
                  <c:v>Surface Site Prep, Facilities Repair &amp; Injection Testing</c:v>
                </c:pt>
                <c:pt idx="25">
                  <c:v>Disposal Operations</c:v>
                </c:pt>
                <c:pt idx="26">
                  <c:v>Surface Equipment Removal</c:v>
                </c:pt>
                <c:pt idx="27">
                  <c:v>0</c:v>
                </c:pt>
                <c:pt idx="28">
                  <c:v>WATER OAK 1 P011CR</c:v>
                </c:pt>
                <c:pt idx="29">
                  <c:v>OCTG Order</c:v>
                </c:pt>
                <c:pt idx="30">
                  <c:v>Wellhead Order</c:v>
                </c:pt>
                <c:pt idx="31">
                  <c:v>Land Work, SUA &amp; Damages</c:v>
                </c:pt>
                <c:pt idx="32">
                  <c:v>Environmental &amp; Permitting</c:v>
                </c:pt>
                <c:pt idx="33">
                  <c:v>Pad Construction &amp; Conductor</c:v>
                </c:pt>
                <c:pt idx="34">
                  <c:v>Final Drill Plan and DWOP</c:v>
                </c:pt>
                <c:pt idx="35">
                  <c:v>Drill to core point</c:v>
                </c:pt>
                <c:pt idx="36">
                  <c:v>Core, Log &amp; Run Pipe</c:v>
                </c:pt>
                <c:pt idx="37">
                  <c:v>Wait on data processing for log &amp; core</c:v>
                </c:pt>
                <c:pt idx="38">
                  <c:v>Completion Planning &amp; CWOP</c:v>
                </c:pt>
                <c:pt idx="39">
                  <c:v>Completion Operations</c:v>
                </c:pt>
                <c:pt idx="40">
                  <c:v>Perforate and DFIT's (5 intervals)</c:v>
                </c:pt>
              </c:strCache>
            </c:strRef>
          </c:cat>
          <c:val>
            <c:numRef>
              <c:f>Modeler!$Q$5:$Q$46</c:f>
              <c:numCache>
                <c:formatCode>#,##0</c:formatCode>
                <c:ptCount val="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5C6F-4528-A5C2-4928FE99ACA9}"/>
            </c:ext>
          </c:extLst>
        </c:ser>
        <c:ser>
          <c:idx val="8"/>
          <c:order val="9"/>
          <c:tx>
            <c:strRef>
              <c:f>Modeler!$W$4</c:f>
              <c:strCache>
                <c:ptCount val="1"/>
                <c:pt idx="0">
                  <c:v>Drill Out</c:v>
                </c:pt>
              </c:strCache>
            </c:strRef>
          </c:tx>
          <c:spPr>
            <a:noFill/>
            <a:ln w="3175">
              <a:noFill/>
              <a:prstDash val="solid"/>
            </a:ln>
          </c:spPr>
          <c:invertIfNegative val="0"/>
          <c:dPt>
            <c:idx val="7"/>
            <c:invertIfNegative val="0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5-5C6F-4528-A5C2-4928FE99ACA9}"/>
              </c:ext>
            </c:extLst>
          </c:dPt>
          <c:cat>
            <c:strRef>
              <c:f>Modeler!$C$5:$C$46</c:f>
              <c:strCache>
                <c:ptCount val="41"/>
                <c:pt idx="1">
                  <c:v>DATA GATHERING</c:v>
                </c:pt>
                <c:pt idx="2">
                  <c:v>Seismic Acquisition / Interpretation</c:v>
                </c:pt>
                <c:pt idx="3">
                  <c:v>Geologic Model</c:v>
                </c:pt>
                <c:pt idx="4">
                  <c:v>Reservoir Model</c:v>
                </c:pt>
                <c:pt idx="5">
                  <c:v>- Well Spacing/Temp/Rate Model - 20MW</c:v>
                </c:pt>
                <c:pt idx="6">
                  <c:v>- 20MW Full Simulation</c:v>
                </c:pt>
                <c:pt idx="7">
                  <c:v>- 20MW Development Plan</c:v>
                </c:pt>
                <c:pt idx="8">
                  <c:v>Reservoir Test Analysis - Pure #1</c:v>
                </c:pt>
                <c:pt idx="9">
                  <c:v>Core Analysis - Water Oak #1-1PV</c:v>
                </c:pt>
                <c:pt idx="10">
                  <c:v>Reservoir Test Analysis - Water Oak #1 - 1PV</c:v>
                </c:pt>
                <c:pt idx="11">
                  <c:v>0</c:v>
                </c:pt>
                <c:pt idx="12">
                  <c:v>PURE #1 ACTIVITIES</c:v>
                </c:pt>
                <c:pt idx="13">
                  <c:v>Acquisition</c:v>
                </c:pt>
                <c:pt idx="14">
                  <c:v>SUA &amp; Damages</c:v>
                </c:pt>
                <c:pt idx="15">
                  <c:v>Surface Site Prep, Facilities Repair &amp; Gas Mktg</c:v>
                </c:pt>
                <c:pt idx="16">
                  <c:v>Workover/Re-Entry</c:v>
                </c:pt>
                <c:pt idx="17">
                  <c:v>Flow Test</c:v>
                </c:pt>
                <c:pt idx="18">
                  <c:v>Conversion Workover - Ops Planning</c:v>
                </c:pt>
                <c:pt idx="19">
                  <c:v>Permitting for Conversion</c:v>
                </c:pt>
                <c:pt idx="20">
                  <c:v>Conversion Workover</c:v>
                </c:pt>
                <c:pt idx="21">
                  <c:v>0</c:v>
                </c:pt>
                <c:pt idx="22">
                  <c:v>PURE #1D ACTIVITIES</c:v>
                </c:pt>
                <c:pt idx="23">
                  <c:v>Acquisition</c:v>
                </c:pt>
                <c:pt idx="24">
                  <c:v>Surface Site Prep, Facilities Repair &amp; Injection Testing</c:v>
                </c:pt>
                <c:pt idx="25">
                  <c:v>Disposal Operations</c:v>
                </c:pt>
                <c:pt idx="26">
                  <c:v>Surface Equipment Removal</c:v>
                </c:pt>
                <c:pt idx="27">
                  <c:v>0</c:v>
                </c:pt>
                <c:pt idx="28">
                  <c:v>WATER OAK 1 P011CR</c:v>
                </c:pt>
                <c:pt idx="29">
                  <c:v>OCTG Order</c:v>
                </c:pt>
                <c:pt idx="30">
                  <c:v>Wellhead Order</c:v>
                </c:pt>
                <c:pt idx="31">
                  <c:v>Land Work, SUA &amp; Damages</c:v>
                </c:pt>
                <c:pt idx="32">
                  <c:v>Environmental &amp; Permitting</c:v>
                </c:pt>
                <c:pt idx="33">
                  <c:v>Pad Construction &amp; Conductor</c:v>
                </c:pt>
                <c:pt idx="34">
                  <c:v>Final Drill Plan and DWOP</c:v>
                </c:pt>
                <c:pt idx="35">
                  <c:v>Drill to core point</c:v>
                </c:pt>
                <c:pt idx="36">
                  <c:v>Core, Log &amp; Run Pipe</c:v>
                </c:pt>
                <c:pt idx="37">
                  <c:v>Wait on data processing for log &amp; core</c:v>
                </c:pt>
                <c:pt idx="38">
                  <c:v>Completion Planning &amp; CWOP</c:v>
                </c:pt>
                <c:pt idx="39">
                  <c:v>Completion Operations</c:v>
                </c:pt>
                <c:pt idx="40">
                  <c:v>Perforate and DFIT's (5 intervals)</c:v>
                </c:pt>
              </c:strCache>
            </c:strRef>
          </c:cat>
          <c:val>
            <c:numRef>
              <c:f>Modeler!$R$5:$R$46</c:f>
              <c:numCache>
                <c:formatCode>General</c:formatCode>
                <c:ptCount val="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5C6F-4528-A5C2-4928FE99ACA9}"/>
            </c:ext>
          </c:extLst>
        </c:ser>
        <c:ser>
          <c:idx val="9"/>
          <c:order val="10"/>
          <c:tx>
            <c:strRef>
              <c:f>Modeler!$X$4</c:f>
              <c:strCache>
                <c:ptCount val="1"/>
                <c:pt idx="0">
                  <c:v>DO Days</c:v>
                </c:pt>
              </c:strCache>
            </c:strRef>
          </c:tx>
          <c:spPr>
            <a:solidFill>
              <a:srgbClr val="92D050"/>
            </a:solidFill>
            <a:ln w="3175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Modeler!$C$5:$C$46</c:f>
              <c:strCache>
                <c:ptCount val="41"/>
                <c:pt idx="1">
                  <c:v>DATA GATHERING</c:v>
                </c:pt>
                <c:pt idx="2">
                  <c:v>Seismic Acquisition / Interpretation</c:v>
                </c:pt>
                <c:pt idx="3">
                  <c:v>Geologic Model</c:v>
                </c:pt>
                <c:pt idx="4">
                  <c:v>Reservoir Model</c:v>
                </c:pt>
                <c:pt idx="5">
                  <c:v>- Well Spacing/Temp/Rate Model - 20MW</c:v>
                </c:pt>
                <c:pt idx="6">
                  <c:v>- 20MW Full Simulation</c:v>
                </c:pt>
                <c:pt idx="7">
                  <c:v>- 20MW Development Plan</c:v>
                </c:pt>
                <c:pt idx="8">
                  <c:v>Reservoir Test Analysis - Pure #1</c:v>
                </c:pt>
                <c:pt idx="9">
                  <c:v>Core Analysis - Water Oak #1-1PV</c:v>
                </c:pt>
                <c:pt idx="10">
                  <c:v>Reservoir Test Analysis - Water Oak #1 - 1PV</c:v>
                </c:pt>
                <c:pt idx="11">
                  <c:v>0</c:v>
                </c:pt>
                <c:pt idx="12">
                  <c:v>PURE #1 ACTIVITIES</c:v>
                </c:pt>
                <c:pt idx="13">
                  <c:v>Acquisition</c:v>
                </c:pt>
                <c:pt idx="14">
                  <c:v>SUA &amp; Damages</c:v>
                </c:pt>
                <c:pt idx="15">
                  <c:v>Surface Site Prep, Facilities Repair &amp; Gas Mktg</c:v>
                </c:pt>
                <c:pt idx="16">
                  <c:v>Workover/Re-Entry</c:v>
                </c:pt>
                <c:pt idx="17">
                  <c:v>Flow Test</c:v>
                </c:pt>
                <c:pt idx="18">
                  <c:v>Conversion Workover - Ops Planning</c:v>
                </c:pt>
                <c:pt idx="19">
                  <c:v>Permitting for Conversion</c:v>
                </c:pt>
                <c:pt idx="20">
                  <c:v>Conversion Workover</c:v>
                </c:pt>
                <c:pt idx="21">
                  <c:v>0</c:v>
                </c:pt>
                <c:pt idx="22">
                  <c:v>PURE #1D ACTIVITIES</c:v>
                </c:pt>
                <c:pt idx="23">
                  <c:v>Acquisition</c:v>
                </c:pt>
                <c:pt idx="24">
                  <c:v>Surface Site Prep, Facilities Repair &amp; Injection Testing</c:v>
                </c:pt>
                <c:pt idx="25">
                  <c:v>Disposal Operations</c:v>
                </c:pt>
                <c:pt idx="26">
                  <c:v>Surface Equipment Removal</c:v>
                </c:pt>
                <c:pt idx="27">
                  <c:v>0</c:v>
                </c:pt>
                <c:pt idx="28">
                  <c:v>WATER OAK 1 P011CR</c:v>
                </c:pt>
                <c:pt idx="29">
                  <c:v>OCTG Order</c:v>
                </c:pt>
                <c:pt idx="30">
                  <c:v>Wellhead Order</c:v>
                </c:pt>
                <c:pt idx="31">
                  <c:v>Land Work, SUA &amp; Damages</c:v>
                </c:pt>
                <c:pt idx="32">
                  <c:v>Environmental &amp; Permitting</c:v>
                </c:pt>
                <c:pt idx="33">
                  <c:v>Pad Construction &amp; Conductor</c:v>
                </c:pt>
                <c:pt idx="34">
                  <c:v>Final Drill Plan and DWOP</c:v>
                </c:pt>
                <c:pt idx="35">
                  <c:v>Drill to core point</c:v>
                </c:pt>
                <c:pt idx="36">
                  <c:v>Core, Log &amp; Run Pipe</c:v>
                </c:pt>
                <c:pt idx="37">
                  <c:v>Wait on data processing for log &amp; core</c:v>
                </c:pt>
                <c:pt idx="38">
                  <c:v>Completion Planning &amp; CWOP</c:v>
                </c:pt>
                <c:pt idx="39">
                  <c:v>Completion Operations</c:v>
                </c:pt>
                <c:pt idx="40">
                  <c:v>Perforate and DFIT's (5 intervals)</c:v>
                </c:pt>
              </c:strCache>
            </c:strRef>
          </c:cat>
          <c:val>
            <c:numRef>
              <c:f>Modeler!$T$5:$T$46</c:f>
              <c:numCache>
                <c:formatCode>[$-409]d\-mmm\-yy;@</c:formatCode>
                <c:ptCount val="41"/>
                <c:pt idx="1">
                  <c:v>0</c:v>
                </c:pt>
                <c:pt idx="2">
                  <c:v>44835</c:v>
                </c:pt>
                <c:pt idx="3">
                  <c:v>42807</c:v>
                </c:pt>
                <c:pt idx="4">
                  <c:v>44896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5C6F-4528-A5C2-4928FE99ACA9}"/>
            </c:ext>
          </c:extLst>
        </c:ser>
        <c:ser>
          <c:idx val="10"/>
          <c:order val="11"/>
          <c:tx>
            <c:strRef>
              <c:f>Modeler!$Z$4</c:f>
              <c:strCache>
                <c:ptCount val="1"/>
                <c:pt idx="0">
                  <c:v>Frac</c:v>
                </c:pt>
              </c:strCache>
            </c:strRef>
          </c:tx>
          <c:spPr>
            <a:noFill/>
            <a:ln w="3175">
              <a:noFill/>
              <a:prstDash val="solid"/>
            </a:ln>
          </c:spPr>
          <c:invertIfNegative val="0"/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9-5C6F-4528-A5C2-4928FE99ACA9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B-5C6F-4528-A5C2-4928FE99ACA9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D-5C6F-4528-A5C2-4928FE99ACA9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F-5C6F-4528-A5C2-4928FE99ACA9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1-5C6F-4528-A5C2-4928FE99ACA9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3-5C6F-4528-A5C2-4928FE99ACA9}"/>
              </c:ext>
            </c:extLst>
          </c:dPt>
          <c:cat>
            <c:strRef>
              <c:f>Modeler!$C$5:$C$46</c:f>
              <c:strCache>
                <c:ptCount val="41"/>
                <c:pt idx="1">
                  <c:v>DATA GATHERING</c:v>
                </c:pt>
                <c:pt idx="2">
                  <c:v>Seismic Acquisition / Interpretation</c:v>
                </c:pt>
                <c:pt idx="3">
                  <c:v>Geologic Model</c:v>
                </c:pt>
                <c:pt idx="4">
                  <c:v>Reservoir Model</c:v>
                </c:pt>
                <c:pt idx="5">
                  <c:v>- Well Spacing/Temp/Rate Model - 20MW</c:v>
                </c:pt>
                <c:pt idx="6">
                  <c:v>- 20MW Full Simulation</c:v>
                </c:pt>
                <c:pt idx="7">
                  <c:v>- 20MW Development Plan</c:v>
                </c:pt>
                <c:pt idx="8">
                  <c:v>Reservoir Test Analysis - Pure #1</c:v>
                </c:pt>
                <c:pt idx="9">
                  <c:v>Core Analysis - Water Oak #1-1PV</c:v>
                </c:pt>
                <c:pt idx="10">
                  <c:v>Reservoir Test Analysis - Water Oak #1 - 1PV</c:v>
                </c:pt>
                <c:pt idx="11">
                  <c:v>0</c:v>
                </c:pt>
                <c:pt idx="12">
                  <c:v>PURE #1 ACTIVITIES</c:v>
                </c:pt>
                <c:pt idx="13">
                  <c:v>Acquisition</c:v>
                </c:pt>
                <c:pt idx="14">
                  <c:v>SUA &amp; Damages</c:v>
                </c:pt>
                <c:pt idx="15">
                  <c:v>Surface Site Prep, Facilities Repair &amp; Gas Mktg</c:v>
                </c:pt>
                <c:pt idx="16">
                  <c:v>Workover/Re-Entry</c:v>
                </c:pt>
                <c:pt idx="17">
                  <c:v>Flow Test</c:v>
                </c:pt>
                <c:pt idx="18">
                  <c:v>Conversion Workover - Ops Planning</c:v>
                </c:pt>
                <c:pt idx="19">
                  <c:v>Permitting for Conversion</c:v>
                </c:pt>
                <c:pt idx="20">
                  <c:v>Conversion Workover</c:v>
                </c:pt>
                <c:pt idx="21">
                  <c:v>0</c:v>
                </c:pt>
                <c:pt idx="22">
                  <c:v>PURE #1D ACTIVITIES</c:v>
                </c:pt>
                <c:pt idx="23">
                  <c:v>Acquisition</c:v>
                </c:pt>
                <c:pt idx="24">
                  <c:v>Surface Site Prep, Facilities Repair &amp; Injection Testing</c:v>
                </c:pt>
                <c:pt idx="25">
                  <c:v>Disposal Operations</c:v>
                </c:pt>
                <c:pt idx="26">
                  <c:v>Surface Equipment Removal</c:v>
                </c:pt>
                <c:pt idx="27">
                  <c:v>0</c:v>
                </c:pt>
                <c:pt idx="28">
                  <c:v>WATER OAK 1 P011CR</c:v>
                </c:pt>
                <c:pt idx="29">
                  <c:v>OCTG Order</c:v>
                </c:pt>
                <c:pt idx="30">
                  <c:v>Wellhead Order</c:v>
                </c:pt>
                <c:pt idx="31">
                  <c:v>Land Work, SUA &amp; Damages</c:v>
                </c:pt>
                <c:pt idx="32">
                  <c:v>Environmental &amp; Permitting</c:v>
                </c:pt>
                <c:pt idx="33">
                  <c:v>Pad Construction &amp; Conductor</c:v>
                </c:pt>
                <c:pt idx="34">
                  <c:v>Final Drill Plan and DWOP</c:v>
                </c:pt>
                <c:pt idx="35">
                  <c:v>Drill to core point</c:v>
                </c:pt>
                <c:pt idx="36">
                  <c:v>Core, Log &amp; Run Pipe</c:v>
                </c:pt>
                <c:pt idx="37">
                  <c:v>Wait on data processing for log &amp; core</c:v>
                </c:pt>
                <c:pt idx="38">
                  <c:v>Completion Planning &amp; CWOP</c:v>
                </c:pt>
                <c:pt idx="39">
                  <c:v>Completion Operations</c:v>
                </c:pt>
                <c:pt idx="40">
                  <c:v>Perforate and DFIT's (5 intervals)</c:v>
                </c:pt>
              </c:strCache>
            </c:strRef>
          </c:cat>
          <c:val>
            <c:numRef>
              <c:f>Modeler!$U$5:$U$46</c:f>
              <c:numCache>
                <c:formatCode>General</c:formatCode>
                <c:ptCount val="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5C6F-4528-A5C2-4928FE99ACA9}"/>
            </c:ext>
          </c:extLst>
        </c:ser>
        <c:ser>
          <c:idx val="11"/>
          <c:order val="12"/>
          <c:tx>
            <c:strRef>
              <c:f>Modeler!$AA$4</c:f>
              <c:strCache>
                <c:ptCount val="1"/>
                <c:pt idx="0">
                  <c:v>Frac Days</c:v>
                </c:pt>
              </c:strCache>
            </c:strRef>
          </c:tx>
          <c:spPr>
            <a:pattFill prst="lgCheck">
              <a:fgClr>
                <a:schemeClr val="bg1"/>
              </a:fgClr>
              <a:bgClr>
                <a:schemeClr val="accent6">
                  <a:lumMod val="75000"/>
                </a:schemeClr>
              </a:bgClr>
            </a:pattFill>
            <a:ln w="3175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4-5C6F-4528-A5C2-4928FE99ACA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2E50AA9-18FD-4AEA-8251-6308DAEEA5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5-5C6F-4528-A5C2-4928FE99ACA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A64BA02-D891-4298-8F7F-9F81B555DDE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C6F-4528-A5C2-4928FE99ACA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29A51E2-C4DE-497F-AECC-AFDF0DD2AC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C6F-4528-A5C2-4928FE99ACA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F30D104-FB6F-4FFF-9045-8ED95E800C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C6F-4528-A5C2-4928FE99ACA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89698AF-1B84-45C6-AD33-2B6FDAD5FDD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C6F-4528-A5C2-4928FE99ACA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A6FBB4E-061F-4FF0-A6C3-F20C87EAE7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C6F-4528-A5C2-4928FE99ACA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007D3EE-532A-45DC-98DF-DDA90247B1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C6F-4528-A5C2-4928FE99ACA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473E721-5499-4D97-BD44-CEFF28DB46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C6F-4528-A5C2-4928FE99ACA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9FE63EA-73AE-4C89-A40F-523B2299D48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C6F-4528-A5C2-4928FE99ACA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82CAA48-73A9-466F-96D8-87AB965F6E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C6F-4528-A5C2-4928FE99ACA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BFC00CF-9E82-499C-B474-62CDD1DEB6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C6F-4528-A5C2-4928FE99ACA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FBCB9BD-A756-4AEE-97FC-32B453B97C5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C6F-4528-A5C2-4928FE99ACA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7BCBE50-AD8E-42A7-A671-F88333ADD3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C6F-4528-A5C2-4928FE99ACA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3C044EA-2059-4556-9707-3CC8787DBA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C6F-4528-A5C2-4928FE99ACA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4A343BF-82ED-4A05-84DF-5F6F8385A4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C6F-4528-A5C2-4928FE99ACA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E91A822-DB66-4194-B36C-828510D895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C6F-4528-A5C2-4928FE99ACA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87F0EFE-DF59-4D12-98C7-BAD84A3760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C6F-4528-A5C2-4928FE99ACA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3929BBD-5E82-4623-9B72-8DD991090C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C6F-4528-A5C2-4928FE99ACA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5194474-7A46-4CDE-A409-810C4F4D80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C6F-4528-A5C2-4928FE99ACA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708C6FB-F68A-4260-95C6-E67B3E73CD1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C6F-4528-A5C2-4928FE99ACA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149B9D3-171D-447A-9466-937E7D72709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C6F-4528-A5C2-4928FE99ACA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209EA99-509B-42F8-9D48-FE964059D2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C6F-4528-A5C2-4928FE99ACA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5442C61-64D7-4AE5-83D7-C3E0426D6C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C6F-4528-A5C2-4928FE99ACA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1DA91BB-CB2C-410C-BC4B-76540D839E6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C6F-4528-A5C2-4928FE99ACA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4FC6A26-14AA-4072-9363-0E2170F22A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C6F-4528-A5C2-4928FE99ACA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8DFB1F0-EC71-4841-BFAC-736D2D4E09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C6F-4528-A5C2-4928FE99ACA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E6F127A-61BD-43E5-B421-0D6A020AC1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C6F-4528-A5C2-4928FE99ACA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5ECBD63-A8B8-4740-A0F7-ECA788CDFF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C6F-4528-A5C2-4928FE99ACA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5C450EC-3A03-4C08-B103-EC4186BE30F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C6F-4528-A5C2-4928FE99ACA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DC8E903-EBE2-4394-B81C-B28F88532C4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C6F-4528-A5C2-4928FE99ACA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3DE01C1-1367-43D7-87EF-144CC9F2ED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C6F-4528-A5C2-4928FE99ACA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A7D00D0-CFF5-4524-B6F9-0ADB643158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C6F-4528-A5C2-4928FE99ACA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5-5C6F-4528-A5C2-4928FE99ACA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6-5C6F-4528-A5C2-4928FE99ACA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E53E880-6249-4DEB-8EA2-66F3A9355E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75D-4999-9C8E-269A5DCB582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C9FD252-A1D3-42EE-8DFB-525D7C102C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75D-4999-9C8E-269A5DCB582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A75D-4999-9C8E-269A5DCB582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A75D-4999-9C8E-269A5DCB582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A75D-4999-9C8E-269A5DCB582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30D0-4033-9B09-01402CACD16B}"/>
                </c:ext>
              </c:extLst>
            </c:dLbl>
            <c:spPr>
              <a:noFill/>
              <a:ln>
                <a:noFill/>
              </a:ln>
              <a:effectLst/>
            </c:sp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Modeler!$C$5:$C$46</c:f>
              <c:strCache>
                <c:ptCount val="41"/>
                <c:pt idx="1">
                  <c:v>DATA GATHERING</c:v>
                </c:pt>
                <c:pt idx="2">
                  <c:v>Seismic Acquisition / Interpretation</c:v>
                </c:pt>
                <c:pt idx="3">
                  <c:v>Geologic Model</c:v>
                </c:pt>
                <c:pt idx="4">
                  <c:v>Reservoir Model</c:v>
                </c:pt>
                <c:pt idx="5">
                  <c:v>- Well Spacing/Temp/Rate Model - 20MW</c:v>
                </c:pt>
                <c:pt idx="6">
                  <c:v>- 20MW Full Simulation</c:v>
                </c:pt>
                <c:pt idx="7">
                  <c:v>- 20MW Development Plan</c:v>
                </c:pt>
                <c:pt idx="8">
                  <c:v>Reservoir Test Analysis - Pure #1</c:v>
                </c:pt>
                <c:pt idx="9">
                  <c:v>Core Analysis - Water Oak #1-1PV</c:v>
                </c:pt>
                <c:pt idx="10">
                  <c:v>Reservoir Test Analysis - Water Oak #1 - 1PV</c:v>
                </c:pt>
                <c:pt idx="11">
                  <c:v>0</c:v>
                </c:pt>
                <c:pt idx="12">
                  <c:v>PURE #1 ACTIVITIES</c:v>
                </c:pt>
                <c:pt idx="13">
                  <c:v>Acquisition</c:v>
                </c:pt>
                <c:pt idx="14">
                  <c:v>SUA &amp; Damages</c:v>
                </c:pt>
                <c:pt idx="15">
                  <c:v>Surface Site Prep, Facilities Repair &amp; Gas Mktg</c:v>
                </c:pt>
                <c:pt idx="16">
                  <c:v>Workover/Re-Entry</c:v>
                </c:pt>
                <c:pt idx="17">
                  <c:v>Flow Test</c:v>
                </c:pt>
                <c:pt idx="18">
                  <c:v>Conversion Workover - Ops Planning</c:v>
                </c:pt>
                <c:pt idx="19">
                  <c:v>Permitting for Conversion</c:v>
                </c:pt>
                <c:pt idx="20">
                  <c:v>Conversion Workover</c:v>
                </c:pt>
                <c:pt idx="21">
                  <c:v>0</c:v>
                </c:pt>
                <c:pt idx="22">
                  <c:v>PURE #1D ACTIVITIES</c:v>
                </c:pt>
                <c:pt idx="23">
                  <c:v>Acquisition</c:v>
                </c:pt>
                <c:pt idx="24">
                  <c:v>Surface Site Prep, Facilities Repair &amp; Injection Testing</c:v>
                </c:pt>
                <c:pt idx="25">
                  <c:v>Disposal Operations</c:v>
                </c:pt>
                <c:pt idx="26">
                  <c:v>Surface Equipment Removal</c:v>
                </c:pt>
                <c:pt idx="27">
                  <c:v>0</c:v>
                </c:pt>
                <c:pt idx="28">
                  <c:v>WATER OAK 1 P011CR</c:v>
                </c:pt>
                <c:pt idx="29">
                  <c:v>OCTG Order</c:v>
                </c:pt>
                <c:pt idx="30">
                  <c:v>Wellhead Order</c:v>
                </c:pt>
                <c:pt idx="31">
                  <c:v>Land Work, SUA &amp; Damages</c:v>
                </c:pt>
                <c:pt idx="32">
                  <c:v>Environmental &amp; Permitting</c:v>
                </c:pt>
                <c:pt idx="33">
                  <c:v>Pad Construction &amp; Conductor</c:v>
                </c:pt>
                <c:pt idx="34">
                  <c:v>Final Drill Plan and DWOP</c:v>
                </c:pt>
                <c:pt idx="35">
                  <c:v>Drill to core point</c:v>
                </c:pt>
                <c:pt idx="36">
                  <c:v>Core, Log &amp; Run Pipe</c:v>
                </c:pt>
                <c:pt idx="37">
                  <c:v>Wait on data processing for log &amp; core</c:v>
                </c:pt>
                <c:pt idx="38">
                  <c:v>Completion Planning &amp; CWOP</c:v>
                </c:pt>
                <c:pt idx="39">
                  <c:v>Completion Operations</c:v>
                </c:pt>
                <c:pt idx="40">
                  <c:v>Perforate and DFIT's (5 intervals)</c:v>
                </c:pt>
              </c:strCache>
            </c:strRef>
          </c:cat>
          <c:val>
            <c:numRef>
              <c:f>Modeler!$W$5:$W$46</c:f>
              <c:numCache>
                <c:formatCode>[$-409]d\-mmm\-yy;@</c:formatCode>
                <c:ptCount val="41"/>
                <c:pt idx="1">
                  <c:v>0</c:v>
                </c:pt>
                <c:pt idx="2">
                  <c:v>42804</c:v>
                </c:pt>
                <c:pt idx="3">
                  <c:v>42819</c:v>
                </c:pt>
                <c:pt idx="4">
                  <c:v>42822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Modeler!$V$5:$V$46</c15:f>
                <c15:dlblRangeCache>
                  <c:ptCount val="41"/>
                  <c:pt idx="2">
                    <c:v>-2031</c:v>
                  </c:pt>
                  <c:pt idx="3">
                    <c:v>0</c:v>
                  </c:pt>
                  <c:pt idx="4">
                    <c:v>-2074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5-5C6F-4528-A5C2-4928FE99AC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788543744"/>
        <c:axId val="788544136"/>
      </c:barChart>
      <c:catAx>
        <c:axId val="788543744"/>
        <c:scaling>
          <c:orientation val="maxMin"/>
        </c:scaling>
        <c:delete val="0"/>
        <c:axPos val="l"/>
        <c:majorGridlines>
          <c:spPr>
            <a:ln w="12700">
              <a:solidFill>
                <a:schemeClr val="bg1">
                  <a:lumMod val="75000"/>
                </a:schemeClr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88544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88544136"/>
        <c:scaling>
          <c:orientation val="minMax"/>
          <c:max val="43100"/>
          <c:min val="42736"/>
        </c:scaling>
        <c:delete val="0"/>
        <c:axPos val="t"/>
        <c:majorGridlines>
          <c:spPr>
            <a:ln w="3175">
              <a:solidFill>
                <a:srgbClr val="333333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85000"/>
                </a:schemeClr>
              </a:solidFill>
              <a:prstDash val="solid"/>
            </a:ln>
          </c:spPr>
        </c:minorGridlines>
        <c:numFmt formatCode="[$-409]d\-mmm\-yy;@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88543744"/>
        <c:crosses val="autoZero"/>
        <c:crossBetween val="between"/>
        <c:majorUnit val="7"/>
        <c:minorUnit val="1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6452542517551161"/>
          <c:y val="0.9580866468975171"/>
          <c:w val="0.6682977508908946"/>
          <c:h val="3.708243461554701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25" l="0.25" r="0.25" t="0.25" header="0" footer="0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334239</xdr:colOff>
      <xdr:row>0</xdr:row>
      <xdr:rowOff>25978</xdr:rowOff>
    </xdr:from>
    <xdr:to>
      <xdr:col>83</xdr:col>
      <xdr:colOff>117764</xdr:colOff>
      <xdr:row>158</xdr:row>
      <xdr:rowOff>112567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449FF9-8E9F-5703-954D-64A6C6B74B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68580</xdr:colOff>
      <xdr:row>18</xdr:row>
      <xdr:rowOff>160020</xdr:rowOff>
    </xdr:from>
    <xdr:to>
      <xdr:col>24</xdr:col>
      <xdr:colOff>533400</xdr:colOff>
      <xdr:row>18</xdr:row>
      <xdr:rowOff>160020</xdr:rowOff>
    </xdr:to>
    <xdr:sp macro="" textlink="">
      <xdr:nvSpPr>
        <xdr:cNvPr id="2292" name="Line 1">
          <a:extLst>
            <a:ext uri="{FF2B5EF4-FFF2-40B4-BE49-F238E27FC236}">
              <a16:creationId xmlns:a16="http://schemas.microsoft.com/office/drawing/2014/main" id="{00000000-0008-0000-0100-0000F4080000}"/>
            </a:ext>
          </a:extLst>
        </xdr:cNvPr>
        <xdr:cNvSpPr>
          <a:spLocks noChangeShapeType="1"/>
        </xdr:cNvSpPr>
      </xdr:nvSpPr>
      <xdr:spPr bwMode="auto">
        <a:xfrm>
          <a:off x="9212580" y="3177540"/>
          <a:ext cx="595122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43815</xdr:colOff>
      <xdr:row>1</xdr:row>
      <xdr:rowOff>108585</xdr:rowOff>
    </xdr:from>
    <xdr:to>
      <xdr:col>37</xdr:col>
      <xdr:colOff>62865</xdr:colOff>
      <xdr:row>50</xdr:row>
      <xdr:rowOff>60959</xdr:rowOff>
    </xdr:to>
    <xdr:graphicFrame macro="">
      <xdr:nvGraphicFramePr>
        <xdr:cNvPr id="2293" name="Chart 2">
          <a:extLst>
            <a:ext uri="{FF2B5EF4-FFF2-40B4-BE49-F238E27FC236}">
              <a16:creationId xmlns:a16="http://schemas.microsoft.com/office/drawing/2014/main" id="{00000000-0008-0000-0100-0000F5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imeline%20-%20Engineering%20Work%20Activit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er"/>
      <sheetName val="Chart - Compl"/>
    </sheetNames>
    <sheetDataSet>
      <sheetData sheetId="0">
        <row r="7">
          <cell r="A7">
            <v>2</v>
          </cell>
          <cell r="C7" t="str">
            <v>DATA GATHERING</v>
          </cell>
          <cell r="D7">
            <v>44835</v>
          </cell>
          <cell r="F7">
            <v>488</v>
          </cell>
          <cell r="G7" t="str">
            <v/>
          </cell>
          <cell r="J7">
            <v>0</v>
          </cell>
          <cell r="M7" t="str">
            <v/>
          </cell>
          <cell r="P7" t="str">
            <v/>
          </cell>
          <cell r="S7" t="str">
            <v/>
          </cell>
          <cell r="X7" t="str">
            <v/>
          </cell>
          <cell r="AA7" t="str">
            <v/>
          </cell>
          <cell r="AD7" t="str">
            <v/>
          </cell>
          <cell r="AG7" t="str">
            <v/>
          </cell>
        </row>
        <row r="8">
          <cell r="A8">
            <v>3</v>
          </cell>
          <cell r="C8" t="str">
            <v>Seismic Acquisition / Interpretation</v>
          </cell>
          <cell r="D8">
            <v>44835</v>
          </cell>
          <cell r="F8">
            <v>61</v>
          </cell>
          <cell r="G8">
            <v>5</v>
          </cell>
          <cell r="H8">
            <v>44901</v>
          </cell>
          <cell r="J8">
            <v>25</v>
          </cell>
          <cell r="M8">
            <v>0</v>
          </cell>
          <cell r="N8">
            <v>44835</v>
          </cell>
          <cell r="P8">
            <v>0</v>
          </cell>
          <cell r="Q8">
            <v>44835</v>
          </cell>
          <cell r="S8">
            <v>0</v>
          </cell>
          <cell r="T8" t="str">
            <v>S1</v>
          </cell>
          <cell r="U8">
            <v>1</v>
          </cell>
          <cell r="V8">
            <v>44835</v>
          </cell>
          <cell r="X8">
            <v>-2031</v>
          </cell>
          <cell r="Y8">
            <v>42804</v>
          </cell>
          <cell r="AB8">
            <v>42806</v>
          </cell>
          <cell r="AE8">
            <v>42842</v>
          </cell>
          <cell r="AG8">
            <v>-1993</v>
          </cell>
        </row>
        <row r="9">
          <cell r="A9">
            <v>4</v>
          </cell>
          <cell r="C9" t="str">
            <v>Geologic Model</v>
          </cell>
          <cell r="D9">
            <v>44896</v>
          </cell>
          <cell r="F9">
            <v>31</v>
          </cell>
          <cell r="G9" t="str">
            <v/>
          </cell>
          <cell r="J9">
            <v>0</v>
          </cell>
          <cell r="M9">
            <v>0</v>
          </cell>
          <cell r="N9">
            <v>44896</v>
          </cell>
          <cell r="P9">
            <v>-2092</v>
          </cell>
          <cell r="Q9">
            <v>42804</v>
          </cell>
          <cell r="T9" t="str">
            <v>S2</v>
          </cell>
          <cell r="U9">
            <v>1</v>
          </cell>
          <cell r="V9">
            <v>42807</v>
          </cell>
          <cell r="Y9">
            <v>42819</v>
          </cell>
          <cell r="AB9">
            <v>42826</v>
          </cell>
          <cell r="AE9">
            <v>42836</v>
          </cell>
          <cell r="AG9">
            <v>29</v>
          </cell>
        </row>
        <row r="10">
          <cell r="A10">
            <v>5</v>
          </cell>
          <cell r="C10" t="str">
            <v>Reservoir Model</v>
          </cell>
          <cell r="D10">
            <v>44896</v>
          </cell>
          <cell r="F10">
            <v>90</v>
          </cell>
          <cell r="G10" t="str">
            <v/>
          </cell>
          <cell r="J10">
            <v>0</v>
          </cell>
          <cell r="M10" t="str">
            <v/>
          </cell>
          <cell r="P10" t="str">
            <v/>
          </cell>
          <cell r="T10" t="str">
            <v>SP1</v>
          </cell>
          <cell r="U10">
            <v>1</v>
          </cell>
          <cell r="V10">
            <v>44896</v>
          </cell>
          <cell r="X10">
            <v>-2074</v>
          </cell>
          <cell r="Y10">
            <v>42822</v>
          </cell>
          <cell r="AB10">
            <v>42830</v>
          </cell>
          <cell r="AD10" t="str">
            <v/>
          </cell>
          <cell r="AG10" t="str">
            <v/>
          </cell>
        </row>
        <row r="11">
          <cell r="A11">
            <v>6</v>
          </cell>
          <cell r="C11" t="str">
            <v>- Well Spacing/Temp/Rate Model - 20MW</v>
          </cell>
          <cell r="D11">
            <v>44927</v>
          </cell>
          <cell r="F11">
            <v>31</v>
          </cell>
          <cell r="G11" t="str">
            <v/>
          </cell>
          <cell r="J11">
            <v>0</v>
          </cell>
        </row>
        <row r="12">
          <cell r="A12">
            <v>7</v>
          </cell>
          <cell r="C12" t="str">
            <v>- 20MW Full Simulation</v>
          </cell>
          <cell r="D12">
            <v>44927</v>
          </cell>
          <cell r="F12">
            <v>59</v>
          </cell>
          <cell r="G12" t="str">
            <v/>
          </cell>
          <cell r="J12">
            <v>0</v>
          </cell>
        </row>
        <row r="13">
          <cell r="A13">
            <v>8</v>
          </cell>
          <cell r="C13" t="str">
            <v>- 20MW Development Plan</v>
          </cell>
          <cell r="D13">
            <v>44958</v>
          </cell>
          <cell r="F13">
            <v>365</v>
          </cell>
          <cell r="G13" t="str">
            <v/>
          </cell>
          <cell r="J13">
            <v>0</v>
          </cell>
        </row>
        <row r="14">
          <cell r="A14">
            <v>9</v>
          </cell>
          <cell r="C14" t="str">
            <v>Reservoir Test Analysis - Pure #1</v>
          </cell>
          <cell r="D14">
            <v>44958</v>
          </cell>
          <cell r="F14">
            <v>28</v>
          </cell>
          <cell r="G14" t="str">
            <v/>
          </cell>
          <cell r="J14">
            <v>0</v>
          </cell>
        </row>
        <row r="15">
          <cell r="A15">
            <v>10</v>
          </cell>
          <cell r="C15" t="str">
            <v>Core Analysis - Water Oak #1-1PV</v>
          </cell>
          <cell r="D15">
            <v>45139</v>
          </cell>
          <cell r="F15">
            <v>61</v>
          </cell>
          <cell r="G15" t="str">
            <v/>
          </cell>
          <cell r="J15">
            <v>0</v>
          </cell>
        </row>
        <row r="16">
          <cell r="A16">
            <v>11</v>
          </cell>
          <cell r="C16" t="str">
            <v>Reservoir Test Analysis - Water Oak #1 - 1PV</v>
          </cell>
          <cell r="D16">
            <v>45200</v>
          </cell>
          <cell r="F16">
            <v>61</v>
          </cell>
          <cell r="G16" t="str">
            <v/>
          </cell>
          <cell r="J16">
            <v>0</v>
          </cell>
        </row>
        <row r="17">
          <cell r="A17">
            <v>12</v>
          </cell>
          <cell r="F17" t="str">
            <v/>
          </cell>
          <cell r="G17" t="str">
            <v/>
          </cell>
          <cell r="J17">
            <v>0</v>
          </cell>
        </row>
        <row r="18">
          <cell r="A18">
            <v>13</v>
          </cell>
          <cell r="C18" t="str">
            <v>PURE #1 ACTIVITIES</v>
          </cell>
          <cell r="D18">
            <v>44835</v>
          </cell>
          <cell r="F18">
            <v>396</v>
          </cell>
          <cell r="G18" t="str">
            <v/>
          </cell>
          <cell r="J18">
            <v>0</v>
          </cell>
        </row>
        <row r="19">
          <cell r="A19">
            <v>14</v>
          </cell>
          <cell r="C19" t="str">
            <v>Acquisition</v>
          </cell>
          <cell r="D19">
            <v>44835</v>
          </cell>
          <cell r="F19">
            <v>31</v>
          </cell>
          <cell r="G19" t="str">
            <v/>
          </cell>
          <cell r="J19">
            <v>0</v>
          </cell>
        </row>
        <row r="20">
          <cell r="A20">
            <v>16</v>
          </cell>
          <cell r="C20" t="str">
            <v>SUA &amp; Damages</v>
          </cell>
          <cell r="D20">
            <v>44866</v>
          </cell>
          <cell r="F20">
            <v>61</v>
          </cell>
          <cell r="G20" t="str">
            <v/>
          </cell>
          <cell r="J20">
            <v>0</v>
          </cell>
        </row>
        <row r="21">
          <cell r="A21">
            <v>17</v>
          </cell>
          <cell r="C21" t="str">
            <v>Surface Site Prep, Facilities Repair &amp; Gas Mktg</v>
          </cell>
          <cell r="D21">
            <v>44896</v>
          </cell>
          <cell r="F21">
            <v>62</v>
          </cell>
          <cell r="G21" t="str">
            <v/>
          </cell>
          <cell r="J21">
            <v>0</v>
          </cell>
        </row>
        <row r="22">
          <cell r="A22">
            <v>18</v>
          </cell>
          <cell r="C22" t="str">
            <v>Workover/Re-Entry</v>
          </cell>
          <cell r="D22">
            <v>44896</v>
          </cell>
          <cell r="F22">
            <v>31</v>
          </cell>
          <cell r="G22" t="str">
            <v/>
          </cell>
          <cell r="J22">
            <v>0</v>
          </cell>
        </row>
        <row r="23">
          <cell r="A23">
            <v>19</v>
          </cell>
          <cell r="C23" t="str">
            <v>Flow Test</v>
          </cell>
          <cell r="D23">
            <v>44926</v>
          </cell>
          <cell r="F23">
            <v>91</v>
          </cell>
          <cell r="G23" t="str">
            <v/>
          </cell>
          <cell r="J23">
            <v>0</v>
          </cell>
        </row>
        <row r="24">
          <cell r="A24">
            <v>20</v>
          </cell>
          <cell r="C24" t="str">
            <v>Conversion Workover - Ops Planning</v>
          </cell>
          <cell r="D24">
            <v>45017</v>
          </cell>
          <cell r="F24">
            <v>61</v>
          </cell>
          <cell r="G24" t="str">
            <v/>
          </cell>
          <cell r="J24">
            <v>0</v>
          </cell>
        </row>
        <row r="25">
          <cell r="A25">
            <v>21</v>
          </cell>
          <cell r="C25" t="str">
            <v>Permitting for Conversion</v>
          </cell>
          <cell r="D25">
            <v>45170</v>
          </cell>
          <cell r="F25">
            <v>30</v>
          </cell>
          <cell r="G25" t="str">
            <v/>
          </cell>
          <cell r="J25">
            <v>0</v>
          </cell>
        </row>
        <row r="26">
          <cell r="A26">
            <v>22</v>
          </cell>
          <cell r="C26" t="str">
            <v>Conversion Workover</v>
          </cell>
          <cell r="D26">
            <v>45214</v>
          </cell>
          <cell r="F26">
            <v>17</v>
          </cell>
          <cell r="G26" t="str">
            <v/>
          </cell>
          <cell r="J26">
            <v>0</v>
          </cell>
        </row>
        <row r="27">
          <cell r="A27">
            <v>23</v>
          </cell>
          <cell r="F27" t="str">
            <v/>
          </cell>
          <cell r="G27" t="str">
            <v/>
          </cell>
          <cell r="J27">
            <v>0</v>
          </cell>
        </row>
        <row r="28">
          <cell r="A28">
            <v>24</v>
          </cell>
          <cell r="C28" t="str">
            <v>PURE #1D ACTIVITIES</v>
          </cell>
          <cell r="D28">
            <v>44835</v>
          </cell>
          <cell r="F28">
            <v>517</v>
          </cell>
          <cell r="G28" t="str">
            <v/>
          </cell>
          <cell r="J28">
            <v>0</v>
          </cell>
        </row>
        <row r="29">
          <cell r="A29">
            <v>25</v>
          </cell>
          <cell r="C29" t="str">
            <v>Acquisition</v>
          </cell>
          <cell r="D29">
            <v>44835</v>
          </cell>
          <cell r="F29">
            <v>31</v>
          </cell>
          <cell r="G29" t="str">
            <v/>
          </cell>
          <cell r="J29">
            <v>0</v>
          </cell>
        </row>
        <row r="30">
          <cell r="A30">
            <v>26</v>
          </cell>
          <cell r="C30" t="str">
            <v>Surface Site Prep, Facilities Repair &amp; Injection Testing</v>
          </cell>
          <cell r="D30">
            <v>44866</v>
          </cell>
          <cell r="F30">
            <v>30</v>
          </cell>
          <cell r="G30" t="str">
            <v/>
          </cell>
          <cell r="J30">
            <v>0</v>
          </cell>
        </row>
        <row r="31">
          <cell r="A31">
            <v>50</v>
          </cell>
          <cell r="C31" t="str">
            <v>Disposal Operations</v>
          </cell>
          <cell r="D31">
            <v>44926</v>
          </cell>
          <cell r="F31">
            <v>91</v>
          </cell>
          <cell r="G31" t="str">
            <v/>
          </cell>
          <cell r="J31">
            <v>0</v>
          </cell>
        </row>
        <row r="32">
          <cell r="A32">
            <v>51</v>
          </cell>
          <cell r="C32" t="str">
            <v>Surface Equipment Removal</v>
          </cell>
          <cell r="D32">
            <v>45292</v>
          </cell>
          <cell r="F32">
            <v>60</v>
          </cell>
          <cell r="G32" t="str">
            <v/>
          </cell>
          <cell r="J32">
            <v>0</v>
          </cell>
        </row>
        <row r="33">
          <cell r="A33">
            <v>52</v>
          </cell>
          <cell r="F33" t="str">
            <v/>
          </cell>
          <cell r="G33" t="str">
            <v/>
          </cell>
          <cell r="J33">
            <v>0</v>
          </cell>
        </row>
        <row r="34">
          <cell r="A34">
            <v>53</v>
          </cell>
          <cell r="C34" t="str">
            <v>WATER OAK 1 P011CR</v>
          </cell>
          <cell r="D34">
            <v>44866</v>
          </cell>
          <cell r="F34">
            <v>485</v>
          </cell>
          <cell r="G34" t="str">
            <v/>
          </cell>
          <cell r="J34">
            <v>0</v>
          </cell>
        </row>
        <row r="35">
          <cell r="A35">
            <v>90</v>
          </cell>
          <cell r="C35" t="str">
            <v>OCTG Order</v>
          </cell>
          <cell r="D35">
            <v>44915</v>
          </cell>
          <cell r="F35">
            <v>12</v>
          </cell>
          <cell r="G35" t="str">
            <v/>
          </cell>
          <cell r="J35">
            <v>0</v>
          </cell>
        </row>
        <row r="36">
          <cell r="A36">
            <v>91</v>
          </cell>
          <cell r="C36" t="str">
            <v>Wellhead Order</v>
          </cell>
          <cell r="D36">
            <v>44915</v>
          </cell>
          <cell r="F36">
            <v>12</v>
          </cell>
          <cell r="G36" t="str">
            <v/>
          </cell>
          <cell r="J36">
            <v>0</v>
          </cell>
        </row>
        <row r="37">
          <cell r="A37">
            <v>92</v>
          </cell>
          <cell r="C37" t="str">
            <v>Land Work, SUA &amp; Damages</v>
          </cell>
          <cell r="D37">
            <v>44866</v>
          </cell>
          <cell r="F37">
            <v>61</v>
          </cell>
          <cell r="G37">
            <v>14</v>
          </cell>
          <cell r="H37">
            <v>44941</v>
          </cell>
          <cell r="J37">
            <v>106</v>
          </cell>
        </row>
        <row r="38">
          <cell r="A38">
            <v>93</v>
          </cell>
          <cell r="C38" t="str">
            <v>Environmental &amp; Permitting</v>
          </cell>
          <cell r="D38">
            <v>44907</v>
          </cell>
          <cell r="F38">
            <v>14</v>
          </cell>
          <cell r="G38">
            <v>14</v>
          </cell>
          <cell r="H38">
            <v>44935</v>
          </cell>
          <cell r="J38">
            <v>60</v>
          </cell>
        </row>
        <row r="39">
          <cell r="A39">
            <v>32</v>
          </cell>
          <cell r="C39" t="str">
            <v>Pad Construction &amp; Conductor</v>
          </cell>
          <cell r="D39">
            <v>44986</v>
          </cell>
          <cell r="F39">
            <v>31</v>
          </cell>
          <cell r="G39" t="str">
            <v/>
          </cell>
          <cell r="J39">
            <v>0</v>
          </cell>
        </row>
        <row r="40">
          <cell r="A40">
            <v>100</v>
          </cell>
          <cell r="C40" t="str">
            <v>Final Drill Plan and DWOP</v>
          </cell>
          <cell r="D40">
            <v>44986</v>
          </cell>
          <cell r="F40">
            <v>56</v>
          </cell>
          <cell r="G40" t="str">
            <v/>
          </cell>
          <cell r="J40">
            <v>0</v>
          </cell>
        </row>
        <row r="41">
          <cell r="A41">
            <v>101</v>
          </cell>
          <cell r="C41" t="str">
            <v>Drill to core point</v>
          </cell>
          <cell r="D41">
            <v>45078</v>
          </cell>
          <cell r="F41">
            <v>30</v>
          </cell>
          <cell r="G41" t="str">
            <v/>
          </cell>
          <cell r="J41">
            <v>0</v>
          </cell>
        </row>
        <row r="42">
          <cell r="A42">
            <v>102</v>
          </cell>
          <cell r="C42" t="str">
            <v>Core, Log &amp; Run Pipe</v>
          </cell>
          <cell r="D42">
            <v>45108</v>
          </cell>
          <cell r="F42">
            <v>15</v>
          </cell>
          <cell r="G42" t="str">
            <v/>
          </cell>
          <cell r="J42">
            <v>0</v>
          </cell>
        </row>
        <row r="43">
          <cell r="C43" t="str">
            <v>Wait on data processing for log &amp; core</v>
          </cell>
          <cell r="D43">
            <v>45110</v>
          </cell>
          <cell r="G43">
            <v>45</v>
          </cell>
          <cell r="J43">
            <v>0</v>
          </cell>
        </row>
        <row r="44">
          <cell r="C44" t="str">
            <v>Completion Planning &amp; CWOP</v>
          </cell>
          <cell r="D44">
            <v>45156</v>
          </cell>
          <cell r="F44">
            <v>7</v>
          </cell>
          <cell r="G44" t="str">
            <v/>
          </cell>
          <cell r="J44">
            <v>0</v>
          </cell>
        </row>
        <row r="45">
          <cell r="C45" t="str">
            <v>Completion Operations</v>
          </cell>
          <cell r="D45">
            <v>45166</v>
          </cell>
          <cell r="F45">
            <v>5</v>
          </cell>
          <cell r="G45" t="str">
            <v/>
          </cell>
          <cell r="J45">
            <v>0</v>
          </cell>
        </row>
        <row r="46">
          <cell r="C46" t="str">
            <v>Perforate and DFIT's (5 intervals)</v>
          </cell>
          <cell r="D46">
            <v>45171</v>
          </cell>
          <cell r="F46">
            <v>10</v>
          </cell>
          <cell r="G46" t="str">
            <v/>
          </cell>
          <cell r="J46">
            <v>0</v>
          </cell>
        </row>
        <row r="47">
          <cell r="C47" t="str">
            <v>Set Packer &amp; Tube Up</v>
          </cell>
          <cell r="D47">
            <v>45181</v>
          </cell>
          <cell r="F47">
            <v>4</v>
          </cell>
          <cell r="G47" t="str">
            <v/>
          </cell>
          <cell r="J47">
            <v>0</v>
          </cell>
        </row>
        <row r="48">
          <cell r="C48" t="str">
            <v>Flow Test</v>
          </cell>
          <cell r="D48">
            <v>45293</v>
          </cell>
          <cell r="F48">
            <v>30</v>
          </cell>
          <cell r="G48" t="str">
            <v/>
          </cell>
          <cell r="J48">
            <v>0</v>
          </cell>
        </row>
        <row r="49">
          <cell r="C49" t="str">
            <v>PDD &amp; PBU</v>
          </cell>
          <cell r="D49">
            <v>45323</v>
          </cell>
          <cell r="F49">
            <v>21</v>
          </cell>
          <cell r="G49" t="str">
            <v/>
          </cell>
          <cell r="J49">
            <v>0</v>
          </cell>
        </row>
        <row r="50">
          <cell r="C50" t="str">
            <v>Turn in Line</v>
          </cell>
          <cell r="D50">
            <v>45344</v>
          </cell>
          <cell r="F50">
            <v>7</v>
          </cell>
          <cell r="G50" t="str">
            <v/>
          </cell>
          <cell r="J50">
            <v>0</v>
          </cell>
        </row>
        <row r="51">
          <cell r="G51" t="str">
            <v/>
          </cell>
          <cell r="J51">
            <v>0</v>
          </cell>
          <cell r="M51" t="str">
            <v/>
          </cell>
        </row>
        <row r="52">
          <cell r="C52" t="str">
            <v>WATER OAK 1 D021</v>
          </cell>
          <cell r="D52">
            <v>44896</v>
          </cell>
          <cell r="F52">
            <v>434</v>
          </cell>
          <cell r="G52" t="str">
            <v/>
          </cell>
          <cell r="J52">
            <v>0</v>
          </cell>
          <cell r="M52" t="str">
            <v/>
          </cell>
        </row>
        <row r="53">
          <cell r="C53" t="str">
            <v>OCTG Order</v>
          </cell>
          <cell r="D53">
            <v>44896</v>
          </cell>
          <cell r="F53">
            <v>22</v>
          </cell>
          <cell r="G53" t="str">
            <v/>
          </cell>
          <cell r="J53">
            <v>0</v>
          </cell>
          <cell r="M53" t="str">
            <v/>
          </cell>
        </row>
        <row r="54">
          <cell r="C54" t="str">
            <v>Wellhead Order</v>
          </cell>
          <cell r="D54">
            <v>44900</v>
          </cell>
          <cell r="F54">
            <v>18</v>
          </cell>
          <cell r="J54">
            <v>0</v>
          </cell>
          <cell r="M54" t="str">
            <v/>
          </cell>
        </row>
        <row r="55">
          <cell r="C55" t="str">
            <v>Land Work, SUA &amp; Damages</v>
          </cell>
          <cell r="D55">
            <v>44942</v>
          </cell>
          <cell r="F55">
            <v>44</v>
          </cell>
          <cell r="G55" t="str">
            <v/>
          </cell>
          <cell r="J55">
            <v>0</v>
          </cell>
          <cell r="M55" t="str">
            <v/>
          </cell>
        </row>
        <row r="56">
          <cell r="C56" t="str">
            <v>Permitting &amp; Follow-up notifications</v>
          </cell>
          <cell r="D56">
            <v>44900</v>
          </cell>
          <cell r="F56">
            <v>18</v>
          </cell>
          <cell r="G56">
            <v>180</v>
          </cell>
          <cell r="J56">
            <v>0</v>
          </cell>
          <cell r="M56" t="str">
            <v/>
          </cell>
        </row>
        <row r="57">
          <cell r="C57" t="str">
            <v>Pad Construction &amp; Conductor</v>
          </cell>
          <cell r="D57">
            <v>45018</v>
          </cell>
          <cell r="F57">
            <v>29</v>
          </cell>
          <cell r="G57" t="str">
            <v/>
          </cell>
          <cell r="J57">
            <v>0</v>
          </cell>
          <cell r="M57" t="str">
            <v/>
          </cell>
        </row>
        <row r="58">
          <cell r="C58" t="str">
            <v>Final Drill Plan and DWOP</v>
          </cell>
          <cell r="D58">
            <v>45089</v>
          </cell>
          <cell r="F58">
            <v>20</v>
          </cell>
          <cell r="G58" t="str">
            <v/>
          </cell>
          <cell r="J58">
            <v>0</v>
          </cell>
          <cell r="M58" t="str">
            <v/>
          </cell>
        </row>
        <row r="59">
          <cell r="C59" t="str">
            <v>Drill to TD</v>
          </cell>
          <cell r="D59">
            <v>45168</v>
          </cell>
          <cell r="F59">
            <v>18</v>
          </cell>
          <cell r="G59" t="str">
            <v/>
          </cell>
          <cell r="J59">
            <v>0</v>
          </cell>
          <cell r="M59" t="str">
            <v/>
          </cell>
        </row>
        <row r="60">
          <cell r="C60" t="str">
            <v>Log &amp; Run pipe</v>
          </cell>
          <cell r="D60">
            <v>45186</v>
          </cell>
          <cell r="F60">
            <v>50</v>
          </cell>
          <cell r="G60" t="str">
            <v/>
          </cell>
          <cell r="J60">
            <v>0</v>
          </cell>
          <cell r="M60" t="str">
            <v/>
          </cell>
        </row>
        <row r="61">
          <cell r="C61" t="str">
            <v>Completion Planning &amp; CWOP</v>
          </cell>
          <cell r="D61">
            <v>45138</v>
          </cell>
          <cell r="F61">
            <v>5</v>
          </cell>
          <cell r="G61" t="str">
            <v/>
          </cell>
          <cell r="J61">
            <v>0</v>
          </cell>
          <cell r="M61" t="str">
            <v/>
          </cell>
        </row>
        <row r="62">
          <cell r="C62" t="str">
            <v>Completion Operations</v>
          </cell>
          <cell r="D62">
            <v>45152</v>
          </cell>
          <cell r="F62">
            <v>5</v>
          </cell>
          <cell r="G62" t="str">
            <v/>
          </cell>
          <cell r="J62">
            <v>0</v>
          </cell>
          <cell r="M62" t="str">
            <v/>
          </cell>
        </row>
        <row r="63">
          <cell r="C63" t="str">
            <v>Perforate and DFIT's (5 intervals)</v>
          </cell>
          <cell r="D63">
            <v>45157</v>
          </cell>
          <cell r="F63">
            <v>10</v>
          </cell>
          <cell r="G63" t="str">
            <v/>
          </cell>
          <cell r="J63">
            <v>0</v>
          </cell>
          <cell r="M63" t="str">
            <v/>
          </cell>
        </row>
        <row r="64">
          <cell r="C64" t="str">
            <v>Set Packer &amp; Tube Up</v>
          </cell>
          <cell r="D64">
            <v>45167</v>
          </cell>
          <cell r="F64">
            <v>4</v>
          </cell>
          <cell r="G64" t="str">
            <v/>
          </cell>
          <cell r="J64">
            <v>0</v>
          </cell>
          <cell r="M64" t="str">
            <v/>
          </cell>
        </row>
        <row r="65">
          <cell r="C65" t="str">
            <v>Put well in service</v>
          </cell>
          <cell r="D65">
            <v>45323</v>
          </cell>
          <cell r="F65">
            <v>7</v>
          </cell>
          <cell r="G65" t="str">
            <v/>
          </cell>
          <cell r="J65">
            <v>0</v>
          </cell>
          <cell r="M65" t="str">
            <v/>
          </cell>
        </row>
        <row r="66">
          <cell r="G66" t="str">
            <v/>
          </cell>
          <cell r="J66">
            <v>0</v>
          </cell>
          <cell r="M66" t="str">
            <v/>
          </cell>
        </row>
        <row r="67">
          <cell r="C67" t="str">
            <v>FACILITIES CONSTRUCTION</v>
          </cell>
          <cell r="D67">
            <v>44931</v>
          </cell>
          <cell r="F67">
            <v>247</v>
          </cell>
          <cell r="G67" t="str">
            <v/>
          </cell>
          <cell r="J67">
            <v>0</v>
          </cell>
          <cell r="M67" t="str">
            <v/>
          </cell>
        </row>
        <row r="68">
          <cell r="C68" t="str">
            <v>Design Facilities</v>
          </cell>
          <cell r="D68">
            <v>44931</v>
          </cell>
          <cell r="F68">
            <v>55</v>
          </cell>
          <cell r="G68" t="str">
            <v/>
          </cell>
          <cell r="J68">
            <v>0</v>
          </cell>
          <cell r="M68" t="str">
            <v/>
          </cell>
        </row>
        <row r="69">
          <cell r="C69" t="str">
            <v>Order Equipment</v>
          </cell>
          <cell r="D69">
            <v>44986</v>
          </cell>
          <cell r="F69">
            <v>180</v>
          </cell>
          <cell r="G69" t="str">
            <v/>
          </cell>
          <cell r="J69">
            <v>0</v>
          </cell>
          <cell r="M69" t="str">
            <v/>
          </cell>
        </row>
        <row r="70">
          <cell r="C70" t="str">
            <v>Equip new wells</v>
          </cell>
          <cell r="D70">
            <v>45117</v>
          </cell>
          <cell r="F70">
            <v>61</v>
          </cell>
          <cell r="G70" t="str">
            <v/>
          </cell>
          <cell r="J70">
            <v>0</v>
          </cell>
          <cell r="M70" t="str">
            <v/>
          </cell>
        </row>
        <row r="71">
          <cell r="C71" t="str">
            <v>W/G Production and Injection Line Installation</v>
          </cell>
          <cell r="D71">
            <v>45078</v>
          </cell>
          <cell r="F71">
            <v>92</v>
          </cell>
          <cell r="G71" t="str">
            <v/>
          </cell>
          <cell r="J71">
            <v>0</v>
          </cell>
          <cell r="M71" t="str">
            <v/>
          </cell>
        </row>
        <row r="72">
          <cell r="C72" t="str">
            <v>Gas Marketing Agreements</v>
          </cell>
          <cell r="D72">
            <v>45139</v>
          </cell>
          <cell r="F72">
            <v>31</v>
          </cell>
          <cell r="G72" t="str">
            <v/>
          </cell>
          <cell r="J72">
            <v>0</v>
          </cell>
          <cell r="M72" t="str">
            <v/>
          </cell>
        </row>
        <row r="73">
          <cell r="F73" t="str">
            <v/>
          </cell>
          <cell r="G73" t="str">
            <v/>
          </cell>
          <cell r="J73">
            <v>0</v>
          </cell>
          <cell r="M73" t="str">
            <v/>
          </cell>
        </row>
        <row r="74">
          <cell r="F74" t="str">
            <v/>
          </cell>
          <cell r="G74" t="str">
            <v/>
          </cell>
          <cell r="J74">
            <v>0</v>
          </cell>
          <cell r="M74" t="str">
            <v/>
          </cell>
        </row>
        <row r="75">
          <cell r="C75" t="str">
            <v>CYMRIC 1MW ORC</v>
          </cell>
          <cell r="D75">
            <v>44896</v>
          </cell>
          <cell r="F75">
            <v>427</v>
          </cell>
          <cell r="G75" t="str">
            <v/>
          </cell>
          <cell r="J75">
            <v>0</v>
          </cell>
          <cell r="M75" t="str">
            <v/>
          </cell>
        </row>
        <row r="76">
          <cell r="C76" t="str">
            <v>Acquisition</v>
          </cell>
          <cell r="D76">
            <v>44896</v>
          </cell>
          <cell r="F76">
            <v>31</v>
          </cell>
          <cell r="G76" t="str">
            <v/>
          </cell>
          <cell r="J76">
            <v>0</v>
          </cell>
          <cell r="M76" t="str">
            <v/>
          </cell>
        </row>
        <row r="77">
          <cell r="C77" t="str">
            <v>Site Selection/Survey/Permitting</v>
          </cell>
          <cell r="D77">
            <v>44927</v>
          </cell>
          <cell r="F77">
            <v>31</v>
          </cell>
          <cell r="G77" t="str">
            <v/>
          </cell>
          <cell r="J77">
            <v>0</v>
          </cell>
          <cell r="M77" t="str">
            <v/>
          </cell>
        </row>
        <row r="78">
          <cell r="C78" t="str">
            <v>Construct Pad and Civil Works</v>
          </cell>
          <cell r="D78">
            <v>44958</v>
          </cell>
          <cell r="F78">
            <v>59</v>
          </cell>
          <cell r="G78" t="str">
            <v/>
          </cell>
          <cell r="J78">
            <v>0</v>
          </cell>
          <cell r="M78" t="str">
            <v/>
          </cell>
        </row>
        <row r="79">
          <cell r="C79" t="str">
            <v>Installation, Repairs &amp; Refurbishment</v>
          </cell>
          <cell r="D79">
            <v>44986</v>
          </cell>
          <cell r="F79">
            <v>122</v>
          </cell>
          <cell r="G79" t="str">
            <v/>
          </cell>
          <cell r="J79">
            <v>0</v>
          </cell>
          <cell r="M79" t="str">
            <v/>
          </cell>
        </row>
        <row r="80">
          <cell r="C80" t="str">
            <v>Testing &amp; Commissioning</v>
          </cell>
          <cell r="D80">
            <v>45231</v>
          </cell>
          <cell r="F80">
            <v>61</v>
          </cell>
          <cell r="G80" t="str">
            <v/>
          </cell>
          <cell r="J80">
            <v>0</v>
          </cell>
          <cell r="M80" t="str">
            <v/>
          </cell>
        </row>
        <row r="81">
          <cell r="C81" t="str">
            <v>Transmission Design &amp; Integration Plan</v>
          </cell>
          <cell r="D81">
            <v>44927</v>
          </cell>
          <cell r="F81">
            <v>120</v>
          </cell>
          <cell r="G81" t="str">
            <v/>
          </cell>
          <cell r="J81">
            <v>0</v>
          </cell>
          <cell r="M81" t="str">
            <v/>
          </cell>
        </row>
        <row r="82">
          <cell r="C82" t="str">
            <v>SUA &amp; Damages</v>
          </cell>
          <cell r="D82">
            <v>45047</v>
          </cell>
          <cell r="F82">
            <v>61</v>
          </cell>
          <cell r="G82" t="str">
            <v/>
          </cell>
          <cell r="J82">
            <v>0</v>
          </cell>
          <cell r="M82" t="str">
            <v/>
          </cell>
        </row>
        <row r="83">
          <cell r="C83" t="str">
            <v>Transmission Line Construction</v>
          </cell>
          <cell r="D83">
            <v>45078</v>
          </cell>
          <cell r="F83">
            <v>92</v>
          </cell>
          <cell r="G83" t="str">
            <v/>
          </cell>
          <cell r="J83">
            <v>0</v>
          </cell>
          <cell r="M83" t="str">
            <v/>
          </cell>
        </row>
        <row r="84">
          <cell r="C84" t="str">
            <v>Connection/Integration</v>
          </cell>
          <cell r="D84">
            <v>45170</v>
          </cell>
          <cell r="F84">
            <v>61</v>
          </cell>
          <cell r="G84" t="str">
            <v/>
          </cell>
          <cell r="J84">
            <v>0</v>
          </cell>
          <cell r="M84" t="str">
            <v/>
          </cell>
        </row>
        <row r="85">
          <cell r="C85" t="str">
            <v>Power Delivery &amp; Sales</v>
          </cell>
          <cell r="D85">
            <v>45261</v>
          </cell>
          <cell r="F85">
            <v>62</v>
          </cell>
          <cell r="G85" t="str">
            <v/>
          </cell>
          <cell r="J85">
            <v>0</v>
          </cell>
          <cell r="M85" t="str">
            <v/>
          </cell>
        </row>
        <row r="86">
          <cell r="F86" t="str">
            <v/>
          </cell>
          <cell r="G86" t="str">
            <v/>
          </cell>
          <cell r="J86">
            <v>0</v>
          </cell>
          <cell r="M86" t="str">
            <v/>
          </cell>
        </row>
        <row r="87">
          <cell r="C87" t="str">
            <v>PHASE II DEVELOPMENT</v>
          </cell>
          <cell r="D87">
            <v>45078</v>
          </cell>
          <cell r="F87">
            <v>944</v>
          </cell>
          <cell r="G87" t="str">
            <v/>
          </cell>
          <cell r="J87">
            <v>0</v>
          </cell>
          <cell r="M87" t="str">
            <v/>
          </cell>
        </row>
        <row r="88">
          <cell r="C88" t="str">
            <v>OCTG Order</v>
          </cell>
          <cell r="D88">
            <v>45200</v>
          </cell>
          <cell r="F88">
            <v>31</v>
          </cell>
          <cell r="G88" t="str">
            <v/>
          </cell>
          <cell r="J88">
            <v>0</v>
          </cell>
          <cell r="M88" t="str">
            <v/>
          </cell>
        </row>
        <row r="89">
          <cell r="C89" t="str">
            <v>Wellhead Order</v>
          </cell>
          <cell r="D89">
            <v>45200</v>
          </cell>
          <cell r="F89">
            <v>31</v>
          </cell>
          <cell r="G89" t="str">
            <v/>
          </cell>
          <cell r="J89">
            <v>0</v>
          </cell>
          <cell r="M89" t="str">
            <v/>
          </cell>
        </row>
        <row r="90">
          <cell r="C90" t="str">
            <v>Land/Lease</v>
          </cell>
          <cell r="D90">
            <v>45170</v>
          </cell>
          <cell r="F90">
            <v>91</v>
          </cell>
          <cell r="G90" t="str">
            <v/>
          </cell>
          <cell r="J90">
            <v>0</v>
          </cell>
          <cell r="M90" t="str">
            <v/>
          </cell>
        </row>
        <row r="91">
          <cell r="C91" t="str">
            <v>SUA &amp; Damages</v>
          </cell>
          <cell r="D91">
            <v>45078</v>
          </cell>
          <cell r="F91">
            <v>120</v>
          </cell>
          <cell r="J91">
            <v>0</v>
          </cell>
          <cell r="M91" t="str">
            <v/>
          </cell>
        </row>
        <row r="92">
          <cell r="C92" t="str">
            <v>Permitting</v>
          </cell>
          <cell r="D92">
            <v>45108</v>
          </cell>
          <cell r="F92">
            <v>21</v>
          </cell>
          <cell r="G92">
            <v>180</v>
          </cell>
          <cell r="H92">
            <v>45309</v>
          </cell>
          <cell r="M92" t="str">
            <v/>
          </cell>
        </row>
        <row r="93">
          <cell r="C93" t="str">
            <v>Pad Construction</v>
          </cell>
          <cell r="D93">
            <v>45248</v>
          </cell>
          <cell r="F93">
            <v>90</v>
          </cell>
          <cell r="G93" t="str">
            <v/>
          </cell>
          <cell r="J93">
            <v>0</v>
          </cell>
          <cell r="M93" t="str">
            <v/>
          </cell>
        </row>
        <row r="94">
          <cell r="C94" t="str">
            <v>Conductor - WO1 P022, P032, N042, N052</v>
          </cell>
          <cell r="D94">
            <v>45258</v>
          </cell>
          <cell r="F94">
            <v>90</v>
          </cell>
          <cell r="G94" t="str">
            <v/>
          </cell>
          <cell r="J94">
            <v>0</v>
          </cell>
          <cell r="M94" t="str">
            <v/>
          </cell>
        </row>
        <row r="95">
          <cell r="C95" t="str">
            <v>D&amp;C WO1 P022</v>
          </cell>
          <cell r="D95">
            <v>45352</v>
          </cell>
          <cell r="F95">
            <v>60</v>
          </cell>
          <cell r="G95">
            <v>7</v>
          </cell>
          <cell r="H95">
            <v>45419</v>
          </cell>
          <cell r="J95">
            <v>60</v>
          </cell>
          <cell r="M95" t="str">
            <v/>
          </cell>
        </row>
        <row r="96">
          <cell r="C96" t="str">
            <v>Equip P022</v>
          </cell>
          <cell r="D96">
            <v>45417</v>
          </cell>
          <cell r="F96">
            <v>30</v>
          </cell>
          <cell r="M96" t="str">
            <v/>
          </cell>
        </row>
        <row r="97">
          <cell r="C97" t="str">
            <v>D&amp;C WO1 P032</v>
          </cell>
          <cell r="D97">
            <v>45417</v>
          </cell>
          <cell r="F97">
            <v>60</v>
          </cell>
          <cell r="G97">
            <v>7</v>
          </cell>
          <cell r="H97">
            <v>45484</v>
          </cell>
          <cell r="J97">
            <v>60</v>
          </cell>
          <cell r="M97" t="str">
            <v/>
          </cell>
        </row>
        <row r="98">
          <cell r="C98" t="str">
            <v>Equip P032</v>
          </cell>
          <cell r="D98">
            <v>45482</v>
          </cell>
          <cell r="F98">
            <v>30</v>
          </cell>
          <cell r="M98" t="str">
            <v/>
          </cell>
        </row>
        <row r="99">
          <cell r="C99" t="str">
            <v>D&amp;C WO1 N042</v>
          </cell>
          <cell r="D99">
            <v>45482</v>
          </cell>
          <cell r="F99">
            <v>60</v>
          </cell>
          <cell r="G99">
            <v>7</v>
          </cell>
          <cell r="H99">
            <v>45549</v>
          </cell>
          <cell r="J99">
            <v>60</v>
          </cell>
          <cell r="M99" t="str">
            <v/>
          </cell>
        </row>
        <row r="100">
          <cell r="C100" t="str">
            <v>Equip N042</v>
          </cell>
          <cell r="D100">
            <v>45547</v>
          </cell>
          <cell r="F100">
            <v>30</v>
          </cell>
          <cell r="M100" t="str">
            <v/>
          </cell>
        </row>
        <row r="101">
          <cell r="C101" t="str">
            <v>D&amp;C WO1 N052</v>
          </cell>
          <cell r="D101">
            <v>45547</v>
          </cell>
          <cell r="F101">
            <v>60</v>
          </cell>
          <cell r="G101">
            <v>7</v>
          </cell>
          <cell r="H101">
            <v>45614</v>
          </cell>
          <cell r="J101">
            <v>60</v>
          </cell>
          <cell r="M101" t="str">
            <v/>
          </cell>
        </row>
        <row r="102">
          <cell r="C102" t="str">
            <v>Equip N052</v>
          </cell>
          <cell r="D102">
            <v>45612</v>
          </cell>
          <cell r="F102">
            <v>30</v>
          </cell>
          <cell r="G102" t="str">
            <v/>
          </cell>
          <cell r="M102" t="str">
            <v/>
          </cell>
        </row>
        <row r="103">
          <cell r="C103" t="str">
            <v>Pad Construction</v>
          </cell>
          <cell r="D103">
            <v>45508</v>
          </cell>
          <cell r="F103">
            <v>90</v>
          </cell>
          <cell r="G103" t="str">
            <v/>
          </cell>
          <cell r="M103" t="str">
            <v/>
          </cell>
        </row>
        <row r="104">
          <cell r="C104" t="str">
            <v>Conductor - WO1 P062, P072, N082, N092</v>
          </cell>
          <cell r="D104">
            <v>45518</v>
          </cell>
          <cell r="F104">
            <v>90</v>
          </cell>
          <cell r="G104" t="str">
            <v/>
          </cell>
          <cell r="M104" t="str">
            <v/>
          </cell>
        </row>
        <row r="105">
          <cell r="C105" t="str">
            <v>D&amp;C WO1 P062</v>
          </cell>
          <cell r="D105">
            <v>45612</v>
          </cell>
          <cell r="F105">
            <v>60</v>
          </cell>
          <cell r="G105">
            <v>7</v>
          </cell>
          <cell r="H105">
            <v>45679</v>
          </cell>
          <cell r="J105">
            <v>60</v>
          </cell>
          <cell r="M105" t="str">
            <v/>
          </cell>
        </row>
        <row r="106">
          <cell r="C106" t="str">
            <v>Equip P062</v>
          </cell>
          <cell r="D106">
            <v>45677</v>
          </cell>
          <cell r="F106">
            <v>30</v>
          </cell>
          <cell r="G106" t="str">
            <v/>
          </cell>
          <cell r="M106" t="str">
            <v/>
          </cell>
        </row>
        <row r="107">
          <cell r="C107" t="str">
            <v>D&amp;C WO1 P072</v>
          </cell>
          <cell r="D107">
            <v>45677</v>
          </cell>
          <cell r="F107">
            <v>60</v>
          </cell>
          <cell r="G107">
            <v>7</v>
          </cell>
          <cell r="H107">
            <v>45744</v>
          </cell>
          <cell r="J107">
            <v>60</v>
          </cell>
          <cell r="M107" t="str">
            <v/>
          </cell>
        </row>
        <row r="108">
          <cell r="C108" t="str">
            <v>Equip P072</v>
          </cell>
          <cell r="D108">
            <v>45742</v>
          </cell>
          <cell r="F108">
            <v>30</v>
          </cell>
          <cell r="G108" t="str">
            <v/>
          </cell>
          <cell r="M108" t="str">
            <v/>
          </cell>
        </row>
        <row r="109">
          <cell r="C109" t="str">
            <v>D&amp;C WO1 N082</v>
          </cell>
          <cell r="D109">
            <v>45742</v>
          </cell>
          <cell r="F109">
            <v>60</v>
          </cell>
          <cell r="G109">
            <v>7</v>
          </cell>
          <cell r="H109">
            <v>45809</v>
          </cell>
          <cell r="J109">
            <v>60</v>
          </cell>
          <cell r="M109" t="str">
            <v/>
          </cell>
        </row>
        <row r="110">
          <cell r="C110" t="str">
            <v>Equip N082</v>
          </cell>
          <cell r="D110">
            <v>45807</v>
          </cell>
          <cell r="F110">
            <v>30</v>
          </cell>
          <cell r="G110" t="str">
            <v/>
          </cell>
          <cell r="M110" t="str">
            <v/>
          </cell>
        </row>
        <row r="111">
          <cell r="C111" t="str">
            <v>D&amp;C WO1 N092</v>
          </cell>
          <cell r="D111">
            <v>45807</v>
          </cell>
          <cell r="F111">
            <v>60</v>
          </cell>
          <cell r="G111">
            <v>7</v>
          </cell>
          <cell r="H111">
            <v>45874</v>
          </cell>
          <cell r="J111">
            <v>60</v>
          </cell>
          <cell r="M111" t="str">
            <v/>
          </cell>
        </row>
        <row r="112">
          <cell r="C112" t="str">
            <v>Equip N092</v>
          </cell>
          <cell r="D112">
            <v>45872</v>
          </cell>
          <cell r="F112">
            <v>30</v>
          </cell>
          <cell r="G112" t="str">
            <v/>
          </cell>
          <cell r="M112" t="str">
            <v/>
          </cell>
        </row>
        <row r="113">
          <cell r="C113" t="str">
            <v>Pad Construction</v>
          </cell>
          <cell r="D113">
            <v>45768</v>
          </cell>
          <cell r="F113">
            <v>90</v>
          </cell>
          <cell r="G113" t="str">
            <v/>
          </cell>
          <cell r="J113">
            <v>0</v>
          </cell>
          <cell r="M113" t="str">
            <v/>
          </cell>
        </row>
        <row r="114">
          <cell r="C114" t="str">
            <v>Conductor - WO1 N101, P111, N121</v>
          </cell>
          <cell r="D114">
            <v>45778</v>
          </cell>
          <cell r="F114">
            <v>90</v>
          </cell>
          <cell r="G114" t="str">
            <v/>
          </cell>
          <cell r="J114">
            <v>0</v>
          </cell>
          <cell r="M114" t="str">
            <v/>
          </cell>
        </row>
        <row r="115">
          <cell r="C115" t="str">
            <v>D&amp;C WO1 N101</v>
          </cell>
          <cell r="D115">
            <v>45872</v>
          </cell>
          <cell r="F115">
            <v>35</v>
          </cell>
          <cell r="G115">
            <v>5</v>
          </cell>
          <cell r="H115">
            <v>45912</v>
          </cell>
          <cell r="J115">
            <v>30</v>
          </cell>
          <cell r="M115" t="str">
            <v/>
          </cell>
        </row>
        <row r="116">
          <cell r="C116" t="str">
            <v>Equip N101</v>
          </cell>
          <cell r="D116">
            <v>45912</v>
          </cell>
          <cell r="F116">
            <v>30</v>
          </cell>
          <cell r="G116" t="str">
            <v/>
          </cell>
          <cell r="M116" t="str">
            <v/>
          </cell>
        </row>
        <row r="117">
          <cell r="C117" t="str">
            <v>D&amp;C WO1 P111</v>
          </cell>
          <cell r="D117">
            <v>45912</v>
          </cell>
          <cell r="F117">
            <v>35</v>
          </cell>
          <cell r="G117">
            <v>5</v>
          </cell>
          <cell r="H117">
            <v>45952</v>
          </cell>
          <cell r="J117">
            <v>30</v>
          </cell>
          <cell r="M117" t="str">
            <v/>
          </cell>
        </row>
        <row r="118">
          <cell r="C118" t="str">
            <v>Equip P111</v>
          </cell>
          <cell r="D118">
            <v>45952</v>
          </cell>
          <cell r="F118">
            <v>30</v>
          </cell>
          <cell r="G118" t="str">
            <v/>
          </cell>
          <cell r="M118" t="str">
            <v/>
          </cell>
        </row>
        <row r="119">
          <cell r="C119" t="str">
            <v>D&amp;C WO1 N121</v>
          </cell>
          <cell r="D119">
            <v>45952</v>
          </cell>
          <cell r="F119">
            <v>35</v>
          </cell>
          <cell r="G119">
            <v>5</v>
          </cell>
          <cell r="H119">
            <v>45992</v>
          </cell>
          <cell r="J119">
            <v>30</v>
          </cell>
          <cell r="M119" t="str">
            <v/>
          </cell>
        </row>
        <row r="120">
          <cell r="C120" t="str">
            <v>Equip N121</v>
          </cell>
          <cell r="D120">
            <v>45992</v>
          </cell>
          <cell r="F120">
            <v>30</v>
          </cell>
          <cell r="G120" t="str">
            <v/>
          </cell>
          <cell r="M120" t="str">
            <v/>
          </cell>
        </row>
        <row r="121">
          <cell r="F121" t="str">
            <v/>
          </cell>
          <cell r="G121" t="str">
            <v/>
          </cell>
          <cell r="J121">
            <v>0</v>
          </cell>
          <cell r="M121" t="str">
            <v/>
          </cell>
        </row>
        <row r="122">
          <cell r="C122" t="str">
            <v>MIDSTREAM CONSTRUCTION</v>
          </cell>
          <cell r="D122">
            <v>45383</v>
          </cell>
          <cell r="F122">
            <v>548</v>
          </cell>
          <cell r="G122" t="str">
            <v/>
          </cell>
          <cell r="J122">
            <v>0</v>
          </cell>
          <cell r="M122" t="str">
            <v/>
          </cell>
        </row>
        <row r="123">
          <cell r="C123" t="str">
            <v>W&amp;G Trunk Lines (3)</v>
          </cell>
          <cell r="D123">
            <v>45383</v>
          </cell>
          <cell r="F123">
            <v>548</v>
          </cell>
          <cell r="G123" t="str">
            <v/>
          </cell>
          <cell r="J123">
            <v>0</v>
          </cell>
          <cell r="M123" t="str">
            <v/>
          </cell>
        </row>
        <row r="124">
          <cell r="F124" t="str">
            <v/>
          </cell>
          <cell r="G124" t="str">
            <v/>
          </cell>
          <cell r="J124">
            <v>0</v>
          </cell>
          <cell r="M124" t="str">
            <v/>
          </cell>
        </row>
        <row r="125">
          <cell r="C125" t="str">
            <v>WATER OAK PLANT 1 (20MW)</v>
          </cell>
          <cell r="D125">
            <v>44849</v>
          </cell>
          <cell r="F125">
            <v>1112</v>
          </cell>
          <cell r="G125" t="str">
            <v/>
          </cell>
          <cell r="J125">
            <v>0</v>
          </cell>
          <cell r="M125" t="str">
            <v/>
          </cell>
        </row>
        <row r="126">
          <cell r="C126" t="str">
            <v>RFP</v>
          </cell>
          <cell r="D126">
            <v>44849</v>
          </cell>
          <cell r="F126">
            <v>82</v>
          </cell>
          <cell r="G126" t="str">
            <v/>
          </cell>
          <cell r="J126">
            <v>0</v>
          </cell>
          <cell r="M126" t="str">
            <v/>
          </cell>
        </row>
        <row r="127">
          <cell r="C127" t="str">
            <v>Permitting</v>
          </cell>
          <cell r="D127">
            <v>44958</v>
          </cell>
          <cell r="F127">
            <v>120</v>
          </cell>
          <cell r="G127" t="str">
            <v/>
          </cell>
          <cell r="J127">
            <v>0</v>
          </cell>
          <cell r="M127" t="str">
            <v/>
          </cell>
        </row>
        <row r="128">
          <cell r="C128" t="str">
            <v>Preliminary Design</v>
          </cell>
          <cell r="D128">
            <v>44958</v>
          </cell>
          <cell r="F128">
            <v>120</v>
          </cell>
          <cell r="G128" t="str">
            <v/>
          </cell>
          <cell r="J128">
            <v>0</v>
          </cell>
          <cell r="M128" t="str">
            <v/>
          </cell>
        </row>
        <row r="129">
          <cell r="C129" t="str">
            <v>FEED</v>
          </cell>
          <cell r="D129">
            <v>45078</v>
          </cell>
          <cell r="F129">
            <v>240</v>
          </cell>
          <cell r="G129" t="str">
            <v/>
          </cell>
          <cell r="J129">
            <v>0</v>
          </cell>
          <cell r="M129" t="str">
            <v/>
          </cell>
        </row>
        <row r="130">
          <cell r="C130" t="str">
            <v>Fabrication</v>
          </cell>
          <cell r="D130">
            <v>45228</v>
          </cell>
          <cell r="F130">
            <v>270</v>
          </cell>
          <cell r="G130" t="str">
            <v/>
          </cell>
          <cell r="J130">
            <v>0</v>
          </cell>
          <cell r="M130" t="str">
            <v/>
          </cell>
        </row>
        <row r="131">
          <cell r="C131" t="str">
            <v>Mobilization</v>
          </cell>
          <cell r="D131">
            <v>45468</v>
          </cell>
          <cell r="F131">
            <v>90</v>
          </cell>
          <cell r="G131" t="str">
            <v/>
          </cell>
          <cell r="J131">
            <v>0</v>
          </cell>
          <cell r="M131" t="str">
            <v/>
          </cell>
        </row>
        <row r="132">
          <cell r="C132" t="str">
            <v>Construction</v>
          </cell>
          <cell r="D132">
            <v>45438</v>
          </cell>
          <cell r="F132">
            <v>30</v>
          </cell>
          <cell r="G132">
            <v>60</v>
          </cell>
          <cell r="H132">
            <v>45528</v>
          </cell>
          <cell r="J132">
            <v>120</v>
          </cell>
          <cell r="M132" t="str">
            <v/>
          </cell>
        </row>
        <row r="133">
          <cell r="C133" t="str">
            <v>Installation</v>
          </cell>
          <cell r="D133">
            <v>45438</v>
          </cell>
          <cell r="F133">
            <v>120</v>
          </cell>
          <cell r="G133" t="str">
            <v/>
          </cell>
          <cell r="M133" t="str">
            <v/>
          </cell>
        </row>
        <row r="134">
          <cell r="C134" t="str">
            <v>Commisioning</v>
          </cell>
          <cell r="D134">
            <v>45931</v>
          </cell>
          <cell r="F134">
            <v>30</v>
          </cell>
          <cell r="G134" t="str">
            <v/>
          </cell>
          <cell r="M134" t="str">
            <v/>
          </cell>
        </row>
        <row r="135">
          <cell r="C135" t="str">
            <v>Transmission Design &amp; Integration Plan</v>
          </cell>
          <cell r="D135">
            <v>45231</v>
          </cell>
          <cell r="F135">
            <v>180</v>
          </cell>
          <cell r="G135" t="str">
            <v/>
          </cell>
          <cell r="M135" t="str">
            <v/>
          </cell>
        </row>
        <row r="136">
          <cell r="C136" t="str">
            <v>Transmission Line Construction</v>
          </cell>
          <cell r="D136">
            <v>45441</v>
          </cell>
          <cell r="F136">
            <v>180</v>
          </cell>
          <cell r="G136" t="str">
            <v/>
          </cell>
          <cell r="M136" t="str">
            <v/>
          </cell>
        </row>
        <row r="137">
          <cell r="C137" t="str">
            <v>Connection/Integration</v>
          </cell>
          <cell r="D137">
            <v>45839</v>
          </cell>
          <cell r="F137">
            <v>60</v>
          </cell>
          <cell r="G137" t="str">
            <v/>
          </cell>
          <cell r="M137" t="str">
            <v/>
          </cell>
        </row>
        <row r="138">
          <cell r="C138" t="str">
            <v>Power Delivery &amp; Sales</v>
          </cell>
          <cell r="D138">
            <v>45962</v>
          </cell>
          <cell r="F138">
            <v>30</v>
          </cell>
          <cell r="G138" t="str">
            <v/>
          </cell>
          <cell r="M138" t="str">
            <v/>
          </cell>
        </row>
        <row r="139">
          <cell r="M139" t="str">
            <v/>
          </cell>
        </row>
        <row r="140">
          <cell r="M140" t="str">
            <v/>
          </cell>
        </row>
        <row r="141">
          <cell r="M141" t="str">
            <v/>
          </cell>
        </row>
        <row r="142">
          <cell r="M142" t="str">
            <v/>
          </cell>
        </row>
        <row r="143">
          <cell r="M143" t="str">
            <v/>
          </cell>
        </row>
        <row r="144">
          <cell r="M144" t="str">
            <v/>
          </cell>
        </row>
        <row r="145">
          <cell r="M145" t="str">
            <v/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CG1743"/>
  <sheetViews>
    <sheetView tabSelected="1" topLeftCell="AJ1" zoomScale="110" zoomScaleNormal="110" workbookViewId="0">
      <pane xSplit="5" ySplit="12" topLeftCell="AO66" activePane="bottomRight" state="frozen"/>
      <selection activeCell="AJ1" sqref="AJ1"/>
      <selection pane="topRight" activeCell="AO1" sqref="AO1"/>
      <selection pane="bottomLeft" activeCell="AJ13" sqref="AJ13"/>
      <selection pane="bottomRight" activeCell="AJ1" sqref="A1:XFD1048576"/>
    </sheetView>
  </sheetViews>
  <sheetFormatPr defaultColWidth="9.109375" defaultRowHeight="10.199999999999999" x14ac:dyDescent="0.2"/>
  <cols>
    <col min="1" max="1" width="7.5546875" style="13" customWidth="1"/>
    <col min="2" max="2" width="14.88671875" style="13" bestFit="1" customWidth="1"/>
    <col min="3" max="3" width="20.44140625" style="13" bestFit="1" customWidth="1"/>
    <col min="4" max="4" width="9.44140625" style="38" bestFit="1" customWidth="1"/>
    <col min="5" max="5" width="10.5546875" style="15" bestFit="1" customWidth="1"/>
    <col min="6" max="6" width="8.44140625" style="15" bestFit="1" customWidth="1"/>
    <col min="7" max="7" width="8.6640625" style="2" customWidth="1"/>
    <col min="8" max="8" width="8.44140625" style="20" bestFit="1" customWidth="1"/>
    <col min="9" max="9" width="7.5546875" style="9" bestFit="1" customWidth="1"/>
    <col min="10" max="10" width="10" style="2" customWidth="1"/>
    <col min="11" max="11" width="6.5546875" style="20" customWidth="1"/>
    <col min="12" max="12" width="10.109375" style="2" customWidth="1"/>
    <col min="13" max="13" width="8.6640625" style="2" customWidth="1"/>
    <col min="14" max="14" width="8.109375" style="53" bestFit="1" customWidth="1"/>
    <col min="15" max="15" width="8.44140625" style="2" bestFit="1" customWidth="1"/>
    <col min="16" max="16" width="8.44140625" style="2" customWidth="1"/>
    <col min="17" max="17" width="8.44140625" style="53" bestFit="1" customWidth="1"/>
    <col min="18" max="18" width="4.5546875" style="1" customWidth="1"/>
    <col min="19" max="19" width="8.44140625" style="2" customWidth="1"/>
    <col min="20" max="20" width="8.44140625" style="40" bestFit="1" customWidth="1"/>
    <col min="21" max="21" width="5.44140625" style="1" customWidth="1"/>
    <col min="22" max="22" width="8.109375" style="1" bestFit="1" customWidth="1"/>
    <col min="23" max="23" width="8.44140625" style="40" bestFit="1" customWidth="1"/>
    <col min="24" max="24" width="6.5546875" style="20" customWidth="1"/>
    <col min="25" max="25" width="9.109375" style="1"/>
    <col min="26" max="26" width="9.109375" style="2"/>
    <col min="27" max="28" width="9.109375" style="1"/>
    <col min="29" max="29" width="9.109375" style="2"/>
    <col min="30" max="30" width="9.109375" style="1"/>
    <col min="31" max="31" width="10.109375" style="49" bestFit="1" customWidth="1"/>
    <col min="32" max="83" width="9.109375" style="1"/>
    <col min="84" max="84" width="11" style="1" customWidth="1"/>
    <col min="85" max="16384" width="9.109375" style="1"/>
  </cols>
  <sheetData>
    <row r="1" spans="1:85" x14ac:dyDescent="0.2">
      <c r="A1" s="27"/>
      <c r="B1" s="27"/>
      <c r="C1" s="27"/>
      <c r="D1" s="35"/>
      <c r="E1" s="28"/>
      <c r="F1" s="28"/>
      <c r="I1" s="24"/>
      <c r="W1" s="42"/>
    </row>
    <row r="2" spans="1:85" s="3" customFormat="1" ht="15" customHeight="1" x14ac:dyDescent="0.25">
      <c r="A2" s="31"/>
      <c r="B2" s="31"/>
      <c r="C2" s="18"/>
      <c r="D2" s="36"/>
      <c r="E2" s="16"/>
      <c r="F2" s="16"/>
      <c r="G2" s="4"/>
      <c r="H2" s="21"/>
      <c r="I2" s="25"/>
      <c r="J2" s="4"/>
      <c r="K2" s="21"/>
      <c r="L2" s="4"/>
      <c r="M2" s="4"/>
      <c r="N2" s="54"/>
      <c r="O2" s="4"/>
      <c r="P2" s="4"/>
      <c r="Q2" s="54"/>
      <c r="R2" s="7"/>
      <c r="S2" s="4"/>
      <c r="T2" s="41"/>
      <c r="U2" s="7"/>
      <c r="V2" s="7"/>
      <c r="W2" s="43"/>
      <c r="X2" s="21"/>
      <c r="Z2" s="45"/>
      <c r="AC2" s="45"/>
      <c r="AE2" s="50"/>
    </row>
    <row r="3" spans="1:85" s="3" customFormat="1" ht="14.25" customHeight="1" x14ac:dyDescent="0.25">
      <c r="A3" s="31"/>
      <c r="B3" s="31"/>
      <c r="C3" s="18"/>
      <c r="D3" s="36"/>
      <c r="E3" s="16"/>
      <c r="F3" s="16"/>
      <c r="G3" s="4"/>
      <c r="H3" s="21"/>
      <c r="I3" s="25"/>
      <c r="J3" s="4"/>
      <c r="K3" s="21"/>
      <c r="L3" s="4"/>
      <c r="M3" s="4"/>
      <c r="N3" s="54"/>
      <c r="O3" s="4"/>
      <c r="P3" s="4"/>
      <c r="Q3" s="54"/>
      <c r="R3" s="7"/>
      <c r="S3" s="4"/>
      <c r="T3" s="41"/>
      <c r="U3" s="7"/>
      <c r="V3" s="7"/>
      <c r="W3" s="44"/>
      <c r="X3" s="26"/>
      <c r="Z3" s="45"/>
      <c r="AC3" s="45"/>
      <c r="AE3" s="50"/>
    </row>
    <row r="4" spans="1:85" s="5" customFormat="1" ht="30.75" customHeight="1" x14ac:dyDescent="0.2">
      <c r="A4" s="14" t="s">
        <v>0</v>
      </c>
      <c r="B4" s="14" t="str">
        <f>[1]!Table1[[#Headers],[Project]]</f>
        <v>Project</v>
      </c>
      <c r="C4" s="14" t="str">
        <f>[1]!Table1[[#Headers],[Activity]]</f>
        <v>Activity</v>
      </c>
      <c r="D4" s="14" t="str">
        <f>[1]!Table1[[#Headers],[First Activity Start Date]]</f>
        <v>First Activity Start Date</v>
      </c>
      <c r="E4" s="14" t="str">
        <f>[1]!Table1[[#Headers],[End First Activity]]</f>
        <v>End First Activity</v>
      </c>
      <c r="F4" s="14" t="str">
        <f>[1]!Table1[[#Headers],[Days]]</f>
        <v>Days</v>
      </c>
      <c r="G4" s="14" t="str">
        <f>[1]!Table1[[#Headers],[Delay]]</f>
        <v>Delay</v>
      </c>
      <c r="H4" s="14" t="str">
        <f>[1]!Table1[[#Headers],[2nd Activity Start Date]]</f>
        <v>2nd Activity Start Date</v>
      </c>
      <c r="I4" s="14" t="str">
        <f>[1]!Table1[[#Headers],[End 2nd Activity]]</f>
        <v>End 2nd Activity</v>
      </c>
      <c r="J4" s="14" t="str">
        <f>[1]!Table1[[#Headers],[Days2]]</f>
        <v>Days2</v>
      </c>
      <c r="K4" s="17" t="s">
        <v>1</v>
      </c>
      <c r="L4" s="39" t="s">
        <v>2</v>
      </c>
      <c r="M4" s="23" t="s">
        <v>3</v>
      </c>
      <c r="N4" s="55" t="s">
        <v>4</v>
      </c>
      <c r="O4" s="12" t="s">
        <v>5</v>
      </c>
      <c r="P4" s="23" t="s">
        <v>6</v>
      </c>
      <c r="Q4" s="55" t="s">
        <v>7</v>
      </c>
      <c r="R4" s="12" t="s">
        <v>8</v>
      </c>
      <c r="S4" s="23" t="s">
        <v>9</v>
      </c>
      <c r="T4" s="12" t="s">
        <v>10</v>
      </c>
      <c r="U4" s="12" t="s">
        <v>11</v>
      </c>
      <c r="V4" s="23" t="s">
        <v>12</v>
      </c>
      <c r="W4" s="12" t="s">
        <v>13</v>
      </c>
      <c r="X4" s="12" t="s">
        <v>14</v>
      </c>
      <c r="Y4" s="23" t="s">
        <v>15</v>
      </c>
      <c r="Z4" s="12" t="s">
        <v>16</v>
      </c>
      <c r="AA4" s="10" t="s">
        <v>17</v>
      </c>
      <c r="AB4" s="23" t="s">
        <v>18</v>
      </c>
      <c r="AC4" s="46" t="s">
        <v>19</v>
      </c>
      <c r="AD4" s="30" t="s">
        <v>20</v>
      </c>
      <c r="AE4" s="51" t="s">
        <v>21</v>
      </c>
    </row>
    <row r="5" spans="1:85" hidden="1" x14ac:dyDescent="0.2">
      <c r="A5" s="29"/>
      <c r="B5" s="27"/>
      <c r="C5" s="19"/>
      <c r="D5" s="37"/>
      <c r="E5" s="33"/>
      <c r="F5" s="33"/>
      <c r="G5" s="6"/>
      <c r="H5" s="22"/>
      <c r="I5" s="11"/>
      <c r="J5" s="33"/>
      <c r="K5" s="33"/>
      <c r="L5" s="6"/>
      <c r="M5" s="22"/>
      <c r="N5" s="56"/>
      <c r="O5" s="6"/>
      <c r="P5" s="22"/>
      <c r="Q5" s="52"/>
      <c r="R5" s="6"/>
      <c r="S5" s="22"/>
      <c r="T5" s="6"/>
      <c r="U5" s="6"/>
      <c r="V5" s="22"/>
      <c r="W5" s="6"/>
      <c r="X5" s="6"/>
      <c r="Y5" s="22"/>
      <c r="Z5" s="6"/>
      <c r="AA5" s="8"/>
      <c r="AB5" s="22"/>
      <c r="AC5" s="47"/>
    </row>
    <row r="6" spans="1:85" x14ac:dyDescent="0.2">
      <c r="A6" s="29"/>
      <c r="B6" s="27"/>
      <c r="C6" s="19"/>
      <c r="D6" s="37"/>
      <c r="E6" s="33"/>
      <c r="F6" s="33"/>
      <c r="G6" s="6"/>
      <c r="H6" s="22"/>
      <c r="I6" s="11"/>
      <c r="J6" s="33"/>
      <c r="K6" s="33"/>
      <c r="L6" s="6"/>
      <c r="M6" s="22"/>
      <c r="N6" s="56"/>
      <c r="O6" s="6"/>
      <c r="P6" s="22"/>
      <c r="Q6" s="52"/>
      <c r="R6" s="6"/>
      <c r="S6" s="22"/>
      <c r="T6" s="6"/>
      <c r="U6" s="6"/>
      <c r="V6" s="22"/>
      <c r="W6" s="6"/>
      <c r="X6" s="6"/>
      <c r="Y6" s="22"/>
      <c r="Z6" s="6"/>
      <c r="AA6" s="8"/>
      <c r="AB6" s="22"/>
      <c r="AC6" s="48"/>
      <c r="AD6" s="8"/>
      <c r="AE6" s="52"/>
    </row>
    <row r="7" spans="1:85" x14ac:dyDescent="0.2">
      <c r="A7" s="29">
        <f>[1]Modeler!A7</f>
        <v>2</v>
      </c>
      <c r="B7" s="29">
        <f>[1]Modeler!B7</f>
        <v>0</v>
      </c>
      <c r="C7" s="29" t="str">
        <f>[1]Modeler!C7</f>
        <v>DATA GATHERING</v>
      </c>
      <c r="D7" s="37">
        <f>[1]Modeler!D7</f>
        <v>44835</v>
      </c>
      <c r="E7" s="29">
        <f>[1]Modeler!F7</f>
        <v>488</v>
      </c>
      <c r="F7" s="29" t="str">
        <f>[1]Modeler!G7</f>
        <v/>
      </c>
      <c r="G7" s="32">
        <f>[1]Modeler!H7</f>
        <v>0</v>
      </c>
      <c r="H7" s="29">
        <f>[1]Modeler!J7</f>
        <v>0</v>
      </c>
      <c r="I7" s="29">
        <f>[1]Modeler!K7</f>
        <v>0</v>
      </c>
      <c r="J7" s="29">
        <f>[1]Modeler!L7</f>
        <v>0</v>
      </c>
      <c r="K7" s="29" t="str">
        <f>[1]Modeler!M7</f>
        <v/>
      </c>
      <c r="L7" s="32">
        <f>[1]Modeler!N7</f>
        <v>0</v>
      </c>
      <c r="M7" s="29">
        <f>[1]Modeler!O7</f>
        <v>0</v>
      </c>
      <c r="N7" s="34" t="str">
        <f>[1]Modeler!P7</f>
        <v/>
      </c>
      <c r="O7" s="32">
        <f>[1]Modeler!Q7</f>
        <v>0</v>
      </c>
      <c r="P7" s="29">
        <f>[1]Modeler!R7</f>
        <v>0</v>
      </c>
      <c r="Q7" s="34" t="str">
        <f>[1]Modeler!S7</f>
        <v/>
      </c>
      <c r="R7" s="29">
        <f>[1]Modeler!T7</f>
        <v>0</v>
      </c>
      <c r="S7" s="29">
        <f>[1]Modeler!U7</f>
        <v>0</v>
      </c>
      <c r="T7" s="32">
        <f>[1]Modeler!V7</f>
        <v>0</v>
      </c>
      <c r="U7" s="29">
        <f>[1]Modeler!W7</f>
        <v>0</v>
      </c>
      <c r="V7" s="29" t="str">
        <f>[1]Modeler!X7</f>
        <v/>
      </c>
      <c r="W7" s="32">
        <f>[1]Modeler!Y7</f>
        <v>0</v>
      </c>
      <c r="X7" s="29">
        <f>[1]Modeler!Z7</f>
        <v>0</v>
      </c>
      <c r="Y7" s="29" t="str">
        <f>[1]Modeler!AA7</f>
        <v/>
      </c>
      <c r="Z7" s="32">
        <f>[1]Modeler!AB7</f>
        <v>0</v>
      </c>
      <c r="AA7" s="29">
        <f>[1]Modeler!AC7</f>
        <v>0</v>
      </c>
      <c r="AB7" s="29" t="str">
        <f>[1]Modeler!AD7</f>
        <v/>
      </c>
      <c r="AC7" s="32">
        <f>[1]Modeler!AE7</f>
        <v>0</v>
      </c>
      <c r="AD7" s="29">
        <f>[1]Modeler!AF7</f>
        <v>0</v>
      </c>
      <c r="AE7" s="34" t="str">
        <f>[1]Modeler!AG7</f>
        <v/>
      </c>
    </row>
    <row r="8" spans="1:85" x14ac:dyDescent="0.2">
      <c r="A8" s="29">
        <f>[1]Modeler!A8</f>
        <v>3</v>
      </c>
      <c r="B8" s="29">
        <f>[1]Modeler!B8</f>
        <v>0</v>
      </c>
      <c r="C8" s="29" t="str">
        <f>[1]Modeler!C8</f>
        <v>Seismic Acquisition / Interpretation</v>
      </c>
      <c r="D8" s="37">
        <f>[1]Modeler!D8</f>
        <v>44835</v>
      </c>
      <c r="E8" s="29">
        <f>[1]Modeler!F8</f>
        <v>61</v>
      </c>
      <c r="F8" s="29">
        <f>[1]Modeler!G8</f>
        <v>5</v>
      </c>
      <c r="G8" s="32">
        <f>[1]Modeler!H8</f>
        <v>44901</v>
      </c>
      <c r="H8" s="29">
        <f>[1]Modeler!J8</f>
        <v>25</v>
      </c>
      <c r="I8" s="29">
        <f>[1]Modeler!K8</f>
        <v>0</v>
      </c>
      <c r="J8" s="29">
        <f>[1]Modeler!L8</f>
        <v>0</v>
      </c>
      <c r="K8" s="29">
        <f>[1]Modeler!M8</f>
        <v>0</v>
      </c>
      <c r="L8" s="32">
        <f>[1]Modeler!N8</f>
        <v>44835</v>
      </c>
      <c r="M8" s="29">
        <f>[1]Modeler!O8</f>
        <v>0</v>
      </c>
      <c r="N8" s="34">
        <f>[1]Modeler!P8</f>
        <v>0</v>
      </c>
      <c r="O8" s="32">
        <f>[1]Modeler!Q8</f>
        <v>44835</v>
      </c>
      <c r="P8" s="29">
        <f>[1]Modeler!R8</f>
        <v>0</v>
      </c>
      <c r="Q8" s="34">
        <f>[1]Modeler!S8</f>
        <v>0</v>
      </c>
      <c r="R8" s="29" t="str">
        <f>[1]Modeler!T8</f>
        <v>S1</v>
      </c>
      <c r="S8" s="29">
        <f>[1]Modeler!U8</f>
        <v>1</v>
      </c>
      <c r="T8" s="32">
        <f>[1]Modeler!V8</f>
        <v>44835</v>
      </c>
      <c r="U8" s="29">
        <f>[1]Modeler!W8</f>
        <v>0</v>
      </c>
      <c r="V8" s="29">
        <f>[1]Modeler!X8</f>
        <v>-2031</v>
      </c>
      <c r="W8" s="32">
        <f>[1]Modeler!Y8</f>
        <v>42804</v>
      </c>
      <c r="X8" s="29">
        <f>[1]Modeler!Z8</f>
        <v>0</v>
      </c>
      <c r="Y8" s="29">
        <f>[1]Modeler!AA8</f>
        <v>0</v>
      </c>
      <c r="Z8" s="32">
        <f>[1]Modeler!AB8</f>
        <v>42806</v>
      </c>
      <c r="AA8" s="29">
        <f>[1]Modeler!AC8</f>
        <v>0</v>
      </c>
      <c r="AB8" s="29">
        <f>[1]Modeler!AD8</f>
        <v>0</v>
      </c>
      <c r="AC8" s="32">
        <f>[1]Modeler!AE8</f>
        <v>42842</v>
      </c>
      <c r="AD8" s="29">
        <f>[1]Modeler!AF8</f>
        <v>0</v>
      </c>
      <c r="AE8" s="34">
        <f>[1]Modeler!AG8</f>
        <v>-1993</v>
      </c>
    </row>
    <row r="9" spans="1:85" x14ac:dyDescent="0.2">
      <c r="A9" s="29">
        <f>[1]Modeler!A9</f>
        <v>4</v>
      </c>
      <c r="B9" s="29">
        <f>[1]Modeler!B9</f>
        <v>0</v>
      </c>
      <c r="C9" s="29" t="str">
        <f>[1]Modeler!C9</f>
        <v>Geologic Model</v>
      </c>
      <c r="D9" s="37">
        <f>[1]Modeler!D9</f>
        <v>44896</v>
      </c>
      <c r="E9" s="29">
        <f>[1]Modeler!F9</f>
        <v>31</v>
      </c>
      <c r="F9" s="29" t="str">
        <f>[1]Modeler!G9</f>
        <v/>
      </c>
      <c r="G9" s="32">
        <f>[1]Modeler!H9</f>
        <v>0</v>
      </c>
      <c r="H9" s="29">
        <f>[1]Modeler!J9</f>
        <v>0</v>
      </c>
      <c r="I9" s="29">
        <f>[1]Modeler!K9</f>
        <v>0</v>
      </c>
      <c r="J9" s="29">
        <f>[1]Modeler!L9</f>
        <v>0</v>
      </c>
      <c r="K9" s="29">
        <f>[1]Modeler!M9</f>
        <v>0</v>
      </c>
      <c r="L9" s="32">
        <f>[1]Modeler!N9</f>
        <v>44896</v>
      </c>
      <c r="M9" s="29">
        <f>[1]Modeler!O9</f>
        <v>0</v>
      </c>
      <c r="N9" s="34">
        <f>[1]Modeler!P9</f>
        <v>-2092</v>
      </c>
      <c r="O9" s="32">
        <f>[1]Modeler!Q9</f>
        <v>42804</v>
      </c>
      <c r="P9" s="29">
        <f>[1]Modeler!R9</f>
        <v>0</v>
      </c>
      <c r="Q9" s="34">
        <f>[1]Modeler!S9</f>
        <v>0</v>
      </c>
      <c r="R9" s="29" t="str">
        <f>[1]Modeler!T9</f>
        <v>S2</v>
      </c>
      <c r="S9" s="29">
        <f>[1]Modeler!U9</f>
        <v>1</v>
      </c>
      <c r="T9" s="32">
        <f>[1]Modeler!V9</f>
        <v>42807</v>
      </c>
      <c r="U9" s="29">
        <f>[1]Modeler!W9</f>
        <v>0</v>
      </c>
      <c r="V9" s="29">
        <f>[1]Modeler!X9</f>
        <v>0</v>
      </c>
      <c r="W9" s="32">
        <f>[1]Modeler!Y9</f>
        <v>42819</v>
      </c>
      <c r="X9" s="29">
        <f>[1]Modeler!Z9</f>
        <v>0</v>
      </c>
      <c r="Y9" s="29">
        <f>[1]Modeler!AA9</f>
        <v>0</v>
      </c>
      <c r="Z9" s="32">
        <f>[1]Modeler!AB9</f>
        <v>42826</v>
      </c>
      <c r="AA9" s="29">
        <f>[1]Modeler!AC9</f>
        <v>0</v>
      </c>
      <c r="AB9" s="29">
        <f>[1]Modeler!AD9</f>
        <v>0</v>
      </c>
      <c r="AC9" s="32">
        <f>[1]Modeler!AE9</f>
        <v>42836</v>
      </c>
      <c r="AD9" s="29">
        <f>[1]Modeler!AF9</f>
        <v>0</v>
      </c>
      <c r="AE9" s="34">
        <f>[1]Modeler!AG9</f>
        <v>29</v>
      </c>
    </row>
    <row r="10" spans="1:85" x14ac:dyDescent="0.2">
      <c r="A10" s="29">
        <f>[1]Modeler!A10</f>
        <v>5</v>
      </c>
      <c r="B10" s="29">
        <f>[1]Modeler!B10</f>
        <v>0</v>
      </c>
      <c r="C10" s="29" t="str">
        <f>[1]Modeler!C10</f>
        <v>Reservoir Model</v>
      </c>
      <c r="D10" s="37">
        <f>[1]Modeler!D10</f>
        <v>44896</v>
      </c>
      <c r="E10" s="29">
        <f>[1]Modeler!F10</f>
        <v>90</v>
      </c>
      <c r="F10" s="29" t="str">
        <f>[1]Modeler!G10</f>
        <v/>
      </c>
      <c r="G10" s="32">
        <f>[1]Modeler!H10</f>
        <v>0</v>
      </c>
      <c r="H10" s="29">
        <f>[1]Modeler!J10</f>
        <v>0</v>
      </c>
      <c r="I10" s="29">
        <f>[1]Modeler!K10</f>
        <v>0</v>
      </c>
      <c r="J10" s="29">
        <f>[1]Modeler!L10</f>
        <v>0</v>
      </c>
      <c r="K10" s="29" t="str">
        <f>[1]Modeler!M10</f>
        <v/>
      </c>
      <c r="L10" s="32">
        <f>[1]Modeler!N10</f>
        <v>0</v>
      </c>
      <c r="M10" s="29">
        <f>[1]Modeler!O10</f>
        <v>0</v>
      </c>
      <c r="N10" s="34" t="str">
        <f>[1]Modeler!P10</f>
        <v/>
      </c>
      <c r="O10" s="32">
        <f>[1]Modeler!Q10</f>
        <v>0</v>
      </c>
      <c r="P10" s="29">
        <f>[1]Modeler!R10</f>
        <v>0</v>
      </c>
      <c r="Q10" s="34">
        <f>[1]Modeler!S10</f>
        <v>0</v>
      </c>
      <c r="R10" s="29" t="str">
        <f>[1]Modeler!T10</f>
        <v>SP1</v>
      </c>
      <c r="S10" s="29">
        <f>[1]Modeler!U10</f>
        <v>1</v>
      </c>
      <c r="T10" s="32">
        <f>[1]Modeler!V10</f>
        <v>44896</v>
      </c>
      <c r="U10" s="29">
        <f>[1]Modeler!W10</f>
        <v>0</v>
      </c>
      <c r="V10" s="29">
        <f>[1]Modeler!X10</f>
        <v>-2074</v>
      </c>
      <c r="W10" s="32">
        <f>[1]Modeler!Y10</f>
        <v>42822</v>
      </c>
      <c r="X10" s="29">
        <f>[1]Modeler!Z10</f>
        <v>0</v>
      </c>
      <c r="Y10" s="29">
        <f>[1]Modeler!AA10</f>
        <v>0</v>
      </c>
      <c r="Z10" s="32">
        <f>[1]Modeler!AB10</f>
        <v>42830</v>
      </c>
      <c r="AA10" s="29">
        <f>[1]Modeler!AC10</f>
        <v>0</v>
      </c>
      <c r="AB10" s="29" t="str">
        <f>[1]Modeler!AD10</f>
        <v/>
      </c>
      <c r="AC10" s="32">
        <f>[1]Modeler!AE10</f>
        <v>0</v>
      </c>
      <c r="AD10" s="29">
        <f>[1]Modeler!AF10</f>
        <v>0</v>
      </c>
      <c r="AE10" s="34" t="str">
        <f>[1]Modeler!AG10</f>
        <v/>
      </c>
    </row>
    <row r="11" spans="1:85" x14ac:dyDescent="0.2">
      <c r="A11" s="29">
        <f>[1]Modeler!A11</f>
        <v>6</v>
      </c>
      <c r="B11" s="29">
        <f>[1]Modeler!B11</f>
        <v>0</v>
      </c>
      <c r="C11" s="29" t="str">
        <f>[1]Modeler!C11</f>
        <v>- Well Spacing/Temp/Rate Model - 20MW</v>
      </c>
      <c r="D11" s="37">
        <f>[1]Modeler!D11</f>
        <v>44927</v>
      </c>
      <c r="E11" s="29">
        <f>[1]Modeler!F11</f>
        <v>31</v>
      </c>
      <c r="F11" s="29" t="str">
        <f>[1]Modeler!G11</f>
        <v/>
      </c>
      <c r="G11" s="32">
        <f>[1]Modeler!H11</f>
        <v>0</v>
      </c>
      <c r="H11" s="29">
        <f>[1]Modeler!J11</f>
        <v>0</v>
      </c>
      <c r="I11" s="29">
        <f>[1]Modeler!K11</f>
        <v>0</v>
      </c>
      <c r="J11" s="29">
        <f>[1]Modeler!L11</f>
        <v>0</v>
      </c>
      <c r="K11" s="29">
        <f>[1]Modeler!M11</f>
        <v>0</v>
      </c>
      <c r="L11" s="32">
        <f>[1]Modeler!N11</f>
        <v>0</v>
      </c>
      <c r="M11" s="29">
        <f>[1]Modeler!O11</f>
        <v>0</v>
      </c>
      <c r="N11" s="34">
        <f>[1]Modeler!P11</f>
        <v>0</v>
      </c>
      <c r="O11" s="32">
        <f>[1]Modeler!Q11</f>
        <v>0</v>
      </c>
      <c r="P11" s="29">
        <f>[1]Modeler!R11</f>
        <v>0</v>
      </c>
      <c r="Q11" s="34">
        <f>[1]Modeler!S11</f>
        <v>0</v>
      </c>
      <c r="R11" s="29">
        <f>[1]Modeler!T11</f>
        <v>0</v>
      </c>
      <c r="S11" s="29">
        <f>[1]Modeler!U11</f>
        <v>0</v>
      </c>
      <c r="T11" s="32">
        <f>[1]Modeler!V11</f>
        <v>0</v>
      </c>
      <c r="U11" s="29">
        <f>[1]Modeler!W11</f>
        <v>0</v>
      </c>
      <c r="V11" s="29">
        <f>[1]Modeler!X11</f>
        <v>0</v>
      </c>
      <c r="W11" s="32">
        <f>[1]Modeler!Y11</f>
        <v>0</v>
      </c>
      <c r="X11" s="29">
        <f>[1]Modeler!Z11</f>
        <v>0</v>
      </c>
      <c r="Y11" s="29">
        <f>[1]Modeler!AA11</f>
        <v>0</v>
      </c>
      <c r="Z11" s="32">
        <f>[1]Modeler!AB11</f>
        <v>0</v>
      </c>
      <c r="AA11" s="29">
        <f>[1]Modeler!AC11</f>
        <v>0</v>
      </c>
      <c r="AB11" s="29">
        <f>[1]Modeler!AD11</f>
        <v>0</v>
      </c>
      <c r="AC11" s="32">
        <f>[1]Modeler!AE11</f>
        <v>0</v>
      </c>
      <c r="AD11" s="29">
        <f>[1]Modeler!AF11</f>
        <v>0</v>
      </c>
      <c r="AE11" s="34">
        <f>[1]Modeler!AG11</f>
        <v>0</v>
      </c>
    </row>
    <row r="12" spans="1:85" ht="19.5" customHeight="1" x14ac:dyDescent="0.2">
      <c r="A12" s="29">
        <f>[1]Modeler!A12</f>
        <v>7</v>
      </c>
      <c r="B12" s="29">
        <f>[1]Modeler!B12</f>
        <v>0</v>
      </c>
      <c r="C12" s="29" t="str">
        <f>[1]Modeler!C12</f>
        <v>- 20MW Full Simulation</v>
      </c>
      <c r="D12" s="37">
        <f>[1]Modeler!D12</f>
        <v>44927</v>
      </c>
      <c r="E12" s="29">
        <f>[1]Modeler!F12</f>
        <v>59</v>
      </c>
      <c r="F12" s="29" t="str">
        <f>[1]Modeler!G12</f>
        <v/>
      </c>
      <c r="G12" s="32">
        <f>[1]Modeler!H12</f>
        <v>0</v>
      </c>
      <c r="H12" s="29">
        <f>[1]Modeler!J12</f>
        <v>0</v>
      </c>
      <c r="I12" s="29">
        <f>[1]Modeler!K12</f>
        <v>0</v>
      </c>
      <c r="J12" s="29">
        <f>[1]Modeler!L12</f>
        <v>0</v>
      </c>
      <c r="K12" s="29">
        <f>[1]Modeler!M12</f>
        <v>0</v>
      </c>
      <c r="L12" s="32">
        <f>[1]Modeler!N12</f>
        <v>0</v>
      </c>
      <c r="M12" s="29">
        <f>[1]Modeler!O12</f>
        <v>0</v>
      </c>
      <c r="N12" s="34">
        <f>[1]Modeler!P12</f>
        <v>0</v>
      </c>
      <c r="O12" s="32">
        <f>[1]Modeler!Q12</f>
        <v>0</v>
      </c>
      <c r="P12" s="29">
        <f>[1]Modeler!R12</f>
        <v>0</v>
      </c>
      <c r="Q12" s="34">
        <f>[1]Modeler!S12</f>
        <v>0</v>
      </c>
      <c r="R12" s="29">
        <f>[1]Modeler!T12</f>
        <v>0</v>
      </c>
      <c r="S12" s="29">
        <f>[1]Modeler!U12</f>
        <v>0</v>
      </c>
      <c r="T12" s="32">
        <f>[1]Modeler!V12</f>
        <v>0</v>
      </c>
      <c r="U12" s="29">
        <f>[1]Modeler!W12</f>
        <v>0</v>
      </c>
      <c r="V12" s="29">
        <f>[1]Modeler!X12</f>
        <v>0</v>
      </c>
      <c r="W12" s="32">
        <f>[1]Modeler!Y12</f>
        <v>0</v>
      </c>
      <c r="X12" s="29">
        <f>[1]Modeler!Z12</f>
        <v>0</v>
      </c>
      <c r="Y12" s="29">
        <f>[1]Modeler!AA12</f>
        <v>0</v>
      </c>
      <c r="Z12" s="32">
        <f>[1]Modeler!AB12</f>
        <v>0</v>
      </c>
      <c r="AA12" s="29">
        <f>[1]Modeler!AC12</f>
        <v>0</v>
      </c>
      <c r="AB12" s="29">
        <f>[1]Modeler!AD12</f>
        <v>0</v>
      </c>
      <c r="AC12" s="32">
        <f>[1]Modeler!AE12</f>
        <v>0</v>
      </c>
      <c r="AD12" s="29">
        <f>[1]Modeler!AF12</f>
        <v>0</v>
      </c>
      <c r="AE12" s="34">
        <f>[1]Modeler!AG12</f>
        <v>0</v>
      </c>
    </row>
    <row r="13" spans="1:85" x14ac:dyDescent="0.2">
      <c r="A13" s="29">
        <f>[1]Modeler!A13</f>
        <v>8</v>
      </c>
      <c r="B13" s="29">
        <f>[1]Modeler!B13</f>
        <v>0</v>
      </c>
      <c r="C13" s="29" t="str">
        <f>[1]Modeler!C13</f>
        <v>- 20MW Development Plan</v>
      </c>
      <c r="D13" s="37">
        <f>[1]Modeler!D13</f>
        <v>44958</v>
      </c>
      <c r="E13" s="29">
        <f>[1]Modeler!F13</f>
        <v>365</v>
      </c>
      <c r="F13" s="29" t="str">
        <f>[1]Modeler!G13</f>
        <v/>
      </c>
      <c r="G13" s="32">
        <f>[1]Modeler!H13</f>
        <v>0</v>
      </c>
      <c r="H13" s="29">
        <f>[1]Modeler!J13</f>
        <v>0</v>
      </c>
      <c r="I13" s="29">
        <f>[1]Modeler!K13</f>
        <v>0</v>
      </c>
      <c r="J13" s="29">
        <f>[1]Modeler!L13</f>
        <v>0</v>
      </c>
      <c r="K13" s="29">
        <f>[1]Modeler!M13</f>
        <v>0</v>
      </c>
      <c r="L13" s="32">
        <f>[1]Modeler!N13</f>
        <v>0</v>
      </c>
      <c r="M13" s="29">
        <f>[1]Modeler!O13</f>
        <v>0</v>
      </c>
      <c r="N13" s="34">
        <f>[1]Modeler!P13</f>
        <v>0</v>
      </c>
      <c r="O13" s="32">
        <f>[1]Modeler!Q13</f>
        <v>0</v>
      </c>
      <c r="P13" s="29">
        <f>[1]Modeler!R13</f>
        <v>0</v>
      </c>
      <c r="Q13" s="34">
        <f>[1]Modeler!S13</f>
        <v>0</v>
      </c>
      <c r="R13" s="29">
        <f>[1]Modeler!T13</f>
        <v>0</v>
      </c>
      <c r="S13" s="29">
        <f>[1]Modeler!U13</f>
        <v>0</v>
      </c>
      <c r="T13" s="32">
        <f>[1]Modeler!V13</f>
        <v>0</v>
      </c>
      <c r="U13" s="29">
        <f>[1]Modeler!W13</f>
        <v>0</v>
      </c>
      <c r="V13" s="29">
        <f>[1]Modeler!X13</f>
        <v>0</v>
      </c>
      <c r="W13" s="32">
        <f>[1]Modeler!Y13</f>
        <v>0</v>
      </c>
      <c r="X13" s="29">
        <f>[1]Modeler!Z13</f>
        <v>0</v>
      </c>
      <c r="Y13" s="29">
        <f>[1]Modeler!AA13</f>
        <v>0</v>
      </c>
      <c r="Z13" s="32">
        <f>[1]Modeler!AB13</f>
        <v>0</v>
      </c>
      <c r="AA13" s="29">
        <f>[1]Modeler!AC13</f>
        <v>0</v>
      </c>
      <c r="AB13" s="29">
        <f>[1]Modeler!AD13</f>
        <v>0</v>
      </c>
      <c r="AC13" s="32">
        <f>[1]Modeler!AE13</f>
        <v>0</v>
      </c>
      <c r="AD13" s="29">
        <f>[1]Modeler!AF13</f>
        <v>0</v>
      </c>
      <c r="AE13" s="34">
        <f>[1]Modeler!AG13</f>
        <v>0</v>
      </c>
      <c r="CF13" s="58">
        <f ca="1">TODAY()</f>
        <v>44903</v>
      </c>
    </row>
    <row r="14" spans="1:85" x14ac:dyDescent="0.2">
      <c r="A14" s="29">
        <f>[1]Modeler!A14</f>
        <v>9</v>
      </c>
      <c r="B14" s="29">
        <f>[1]Modeler!B14</f>
        <v>0</v>
      </c>
      <c r="C14" s="29" t="str">
        <f>[1]Modeler!C14</f>
        <v>Reservoir Test Analysis - Pure #1</v>
      </c>
      <c r="D14" s="37">
        <f>[1]Modeler!D14</f>
        <v>44958</v>
      </c>
      <c r="E14" s="29">
        <f>[1]Modeler!F14</f>
        <v>28</v>
      </c>
      <c r="F14" s="29" t="str">
        <f>[1]Modeler!G14</f>
        <v/>
      </c>
      <c r="G14" s="32">
        <f>[1]Modeler!H14</f>
        <v>0</v>
      </c>
      <c r="H14" s="29">
        <f>[1]Modeler!J14</f>
        <v>0</v>
      </c>
      <c r="I14" s="29">
        <f>[1]Modeler!K14</f>
        <v>0</v>
      </c>
      <c r="J14" s="29">
        <f>[1]Modeler!L14</f>
        <v>0</v>
      </c>
      <c r="K14" s="29">
        <f>[1]Modeler!M14</f>
        <v>0</v>
      </c>
      <c r="L14" s="32">
        <f>[1]Modeler!N14</f>
        <v>0</v>
      </c>
      <c r="M14" s="29">
        <f>[1]Modeler!O14</f>
        <v>0</v>
      </c>
      <c r="N14" s="34">
        <f>[1]Modeler!P14</f>
        <v>0</v>
      </c>
      <c r="O14" s="32">
        <f>[1]Modeler!Q14</f>
        <v>0</v>
      </c>
      <c r="P14" s="29">
        <f>[1]Modeler!R14</f>
        <v>0</v>
      </c>
      <c r="Q14" s="34">
        <f>[1]Modeler!S14</f>
        <v>0</v>
      </c>
      <c r="R14" s="29">
        <f>[1]Modeler!T14</f>
        <v>0</v>
      </c>
      <c r="S14" s="29">
        <f>[1]Modeler!U14</f>
        <v>0</v>
      </c>
      <c r="T14" s="32">
        <f>[1]Modeler!V14</f>
        <v>0</v>
      </c>
      <c r="U14" s="29">
        <f>[1]Modeler!W14</f>
        <v>0</v>
      </c>
      <c r="V14" s="29">
        <f>[1]Modeler!X14</f>
        <v>0</v>
      </c>
      <c r="W14" s="32">
        <f>[1]Modeler!Y14</f>
        <v>0</v>
      </c>
      <c r="X14" s="29">
        <f>[1]Modeler!Z14</f>
        <v>0</v>
      </c>
      <c r="Y14" s="29">
        <f>[1]Modeler!AA14</f>
        <v>0</v>
      </c>
      <c r="Z14" s="32">
        <f>[1]Modeler!AB14</f>
        <v>0</v>
      </c>
      <c r="AA14" s="29">
        <f>[1]Modeler!AC14</f>
        <v>0</v>
      </c>
      <c r="AB14" s="29">
        <f>[1]Modeler!AD14</f>
        <v>0</v>
      </c>
      <c r="AC14" s="32">
        <f>[1]Modeler!AE14</f>
        <v>0</v>
      </c>
      <c r="AD14" s="29">
        <f>[1]Modeler!AF14</f>
        <v>0</v>
      </c>
      <c r="AE14" s="34">
        <f>[1]Modeler!AG14</f>
        <v>0</v>
      </c>
      <c r="CF14" s="58">
        <f ca="1">CF13</f>
        <v>44903</v>
      </c>
      <c r="CG14" s="57">
        <v>46112</v>
      </c>
    </row>
    <row r="15" spans="1:85" x14ac:dyDescent="0.2">
      <c r="A15" s="29">
        <f>[1]Modeler!A15</f>
        <v>10</v>
      </c>
      <c r="B15" s="29">
        <f>[1]Modeler!B15</f>
        <v>0</v>
      </c>
      <c r="C15" s="29" t="str">
        <f>[1]Modeler!C15</f>
        <v>Core Analysis - Water Oak #1-1PV</v>
      </c>
      <c r="D15" s="37">
        <f>[1]Modeler!D15</f>
        <v>45139</v>
      </c>
      <c r="E15" s="29">
        <f>[1]Modeler!F15</f>
        <v>61</v>
      </c>
      <c r="F15" s="29" t="str">
        <f>[1]Modeler!G15</f>
        <v/>
      </c>
      <c r="G15" s="32">
        <f>[1]Modeler!H15</f>
        <v>0</v>
      </c>
      <c r="H15" s="29">
        <f>[1]Modeler!J15</f>
        <v>0</v>
      </c>
      <c r="I15" s="29">
        <f>[1]Modeler!K15</f>
        <v>0</v>
      </c>
      <c r="J15" s="29">
        <f>[1]Modeler!L15</f>
        <v>0</v>
      </c>
      <c r="K15" s="29">
        <f>[1]Modeler!M15</f>
        <v>0</v>
      </c>
      <c r="L15" s="32">
        <f>[1]Modeler!N15</f>
        <v>0</v>
      </c>
      <c r="M15" s="29">
        <f>[1]Modeler!O15</f>
        <v>0</v>
      </c>
      <c r="N15" s="34">
        <f>[1]Modeler!P15</f>
        <v>0</v>
      </c>
      <c r="O15" s="32">
        <f>[1]Modeler!Q15</f>
        <v>0</v>
      </c>
      <c r="P15" s="29">
        <f>[1]Modeler!R15</f>
        <v>0</v>
      </c>
      <c r="Q15" s="34">
        <f>[1]Modeler!S15</f>
        <v>0</v>
      </c>
      <c r="R15" s="29">
        <f>[1]Modeler!T15</f>
        <v>0</v>
      </c>
      <c r="S15" s="29">
        <f>[1]Modeler!U15</f>
        <v>0</v>
      </c>
      <c r="T15" s="32">
        <f>[1]Modeler!V15</f>
        <v>0</v>
      </c>
      <c r="U15" s="29">
        <f>[1]Modeler!W15</f>
        <v>0</v>
      </c>
      <c r="V15" s="29">
        <f>[1]Modeler!X15</f>
        <v>0</v>
      </c>
      <c r="W15" s="32">
        <f>[1]Modeler!Y15</f>
        <v>0</v>
      </c>
      <c r="X15" s="29">
        <f>[1]Modeler!Z15</f>
        <v>0</v>
      </c>
      <c r="Y15" s="29">
        <f>[1]Modeler!AA15</f>
        <v>0</v>
      </c>
      <c r="Z15" s="32">
        <f>[1]Modeler!AB15</f>
        <v>0</v>
      </c>
      <c r="AA15" s="29">
        <f>[1]Modeler!AC15</f>
        <v>0</v>
      </c>
      <c r="AB15" s="29">
        <f>[1]Modeler!AD15</f>
        <v>0</v>
      </c>
      <c r="AC15" s="32">
        <f>[1]Modeler!AE15</f>
        <v>0</v>
      </c>
      <c r="AD15" s="29">
        <f>[1]Modeler!AF15</f>
        <v>0</v>
      </c>
      <c r="AE15" s="34">
        <f>[1]Modeler!AG15</f>
        <v>0</v>
      </c>
    </row>
    <row r="16" spans="1:85" x14ac:dyDescent="0.2">
      <c r="A16" s="29">
        <f>[1]Modeler!A16</f>
        <v>11</v>
      </c>
      <c r="B16" s="29">
        <f>[1]Modeler!B16</f>
        <v>0</v>
      </c>
      <c r="C16" s="29" t="str">
        <f>[1]Modeler!C16</f>
        <v>Reservoir Test Analysis - Water Oak #1 - 1PV</v>
      </c>
      <c r="D16" s="37">
        <f>[1]Modeler!D16</f>
        <v>45200</v>
      </c>
      <c r="E16" s="29">
        <f>[1]Modeler!F16</f>
        <v>61</v>
      </c>
      <c r="F16" s="29" t="str">
        <f>[1]Modeler!G16</f>
        <v/>
      </c>
      <c r="G16" s="32">
        <f>[1]Modeler!H16</f>
        <v>0</v>
      </c>
      <c r="H16" s="29">
        <f>[1]Modeler!J16</f>
        <v>0</v>
      </c>
      <c r="I16" s="29">
        <f>[1]Modeler!K16</f>
        <v>0</v>
      </c>
      <c r="J16" s="29">
        <f>[1]Modeler!L16</f>
        <v>0</v>
      </c>
      <c r="K16" s="29">
        <f>[1]Modeler!M16</f>
        <v>0</v>
      </c>
      <c r="L16" s="32">
        <f>[1]Modeler!N16</f>
        <v>0</v>
      </c>
      <c r="M16" s="29">
        <f>[1]Modeler!O16</f>
        <v>0</v>
      </c>
      <c r="N16" s="34">
        <f>[1]Modeler!P16</f>
        <v>0</v>
      </c>
      <c r="O16" s="32">
        <f>[1]Modeler!Q16</f>
        <v>0</v>
      </c>
      <c r="P16" s="29">
        <f>[1]Modeler!R16</f>
        <v>0</v>
      </c>
      <c r="Q16" s="34">
        <f>[1]Modeler!S16</f>
        <v>0</v>
      </c>
      <c r="R16" s="29">
        <f>[1]Modeler!T16</f>
        <v>0</v>
      </c>
      <c r="S16" s="29">
        <f>[1]Modeler!U16</f>
        <v>0</v>
      </c>
      <c r="T16" s="32">
        <f>[1]Modeler!V16</f>
        <v>0</v>
      </c>
      <c r="U16" s="29">
        <f>[1]Modeler!W16</f>
        <v>0</v>
      </c>
      <c r="V16" s="29">
        <f>[1]Modeler!X16</f>
        <v>0</v>
      </c>
      <c r="W16" s="32">
        <f>[1]Modeler!Y16</f>
        <v>0</v>
      </c>
      <c r="X16" s="29">
        <f>[1]Modeler!Z16</f>
        <v>0</v>
      </c>
      <c r="Y16" s="29">
        <f>[1]Modeler!AA16</f>
        <v>0</v>
      </c>
      <c r="Z16" s="32">
        <f>[1]Modeler!AB16</f>
        <v>0</v>
      </c>
      <c r="AA16" s="29">
        <f>[1]Modeler!AC16</f>
        <v>0</v>
      </c>
      <c r="AB16" s="29">
        <f>[1]Modeler!AD16</f>
        <v>0</v>
      </c>
      <c r="AC16" s="32">
        <f>[1]Modeler!AE16</f>
        <v>0</v>
      </c>
      <c r="AD16" s="29">
        <f>[1]Modeler!AF16</f>
        <v>0</v>
      </c>
      <c r="AE16" s="34">
        <f>[1]Modeler!AG16</f>
        <v>0</v>
      </c>
    </row>
    <row r="17" spans="1:85" x14ac:dyDescent="0.2">
      <c r="A17" s="29">
        <f>[1]Modeler!A17</f>
        <v>12</v>
      </c>
      <c r="B17" s="29">
        <f>[1]Modeler!B17</f>
        <v>0</v>
      </c>
      <c r="C17" s="29">
        <f>[1]Modeler!C17</f>
        <v>0</v>
      </c>
      <c r="D17" s="37">
        <f>[1]Modeler!D17</f>
        <v>0</v>
      </c>
      <c r="E17" s="29" t="str">
        <f>[1]Modeler!F17</f>
        <v/>
      </c>
      <c r="F17" s="29" t="str">
        <f>[1]Modeler!G17</f>
        <v/>
      </c>
      <c r="G17" s="32">
        <f>[1]Modeler!H17</f>
        <v>0</v>
      </c>
      <c r="H17" s="29">
        <f>[1]Modeler!J17</f>
        <v>0</v>
      </c>
      <c r="I17" s="29">
        <f>[1]Modeler!K17</f>
        <v>0</v>
      </c>
      <c r="J17" s="29">
        <f>[1]Modeler!L17</f>
        <v>0</v>
      </c>
      <c r="K17" s="29">
        <f>[1]Modeler!M17</f>
        <v>0</v>
      </c>
      <c r="L17" s="32">
        <f>[1]Modeler!N17</f>
        <v>0</v>
      </c>
      <c r="M17" s="29">
        <f>[1]Modeler!O17</f>
        <v>0</v>
      </c>
      <c r="N17" s="34">
        <f>[1]Modeler!P17</f>
        <v>0</v>
      </c>
      <c r="O17" s="32">
        <f>[1]Modeler!Q17</f>
        <v>0</v>
      </c>
      <c r="P17" s="29">
        <f>[1]Modeler!R17</f>
        <v>0</v>
      </c>
      <c r="Q17" s="34">
        <f>[1]Modeler!S17</f>
        <v>0</v>
      </c>
      <c r="R17" s="29">
        <f>[1]Modeler!T17</f>
        <v>0</v>
      </c>
      <c r="S17" s="29">
        <f>[1]Modeler!U17</f>
        <v>0</v>
      </c>
      <c r="T17" s="32">
        <f>[1]Modeler!V17</f>
        <v>0</v>
      </c>
      <c r="U17" s="29">
        <f>[1]Modeler!W17</f>
        <v>0</v>
      </c>
      <c r="V17" s="29">
        <f>[1]Modeler!X17</f>
        <v>0</v>
      </c>
      <c r="W17" s="32">
        <f>[1]Modeler!Y17</f>
        <v>0</v>
      </c>
      <c r="X17" s="29">
        <f>[1]Modeler!Z17</f>
        <v>0</v>
      </c>
      <c r="Y17" s="29">
        <f>[1]Modeler!AA17</f>
        <v>0</v>
      </c>
      <c r="Z17" s="32">
        <f>[1]Modeler!AB17</f>
        <v>0</v>
      </c>
      <c r="AA17" s="29">
        <f>[1]Modeler!AC17</f>
        <v>0</v>
      </c>
      <c r="AB17" s="29">
        <f>[1]Modeler!AD17</f>
        <v>0</v>
      </c>
      <c r="AC17" s="32">
        <f>[1]Modeler!AE17</f>
        <v>0</v>
      </c>
      <c r="AD17" s="29">
        <f>[1]Modeler!AF17</f>
        <v>0</v>
      </c>
      <c r="AE17" s="34">
        <f>[1]Modeler!AG17</f>
        <v>0</v>
      </c>
      <c r="CG17" s="57"/>
    </row>
    <row r="18" spans="1:85" x14ac:dyDescent="0.2">
      <c r="A18" s="29">
        <f>[1]Modeler!A18</f>
        <v>13</v>
      </c>
      <c r="B18" s="29">
        <f>[1]Modeler!B18</f>
        <v>0</v>
      </c>
      <c r="C18" s="29" t="str">
        <f>[1]Modeler!C18</f>
        <v>PURE #1 ACTIVITIES</v>
      </c>
      <c r="D18" s="37">
        <f>[1]Modeler!D18</f>
        <v>44835</v>
      </c>
      <c r="E18" s="29">
        <f>[1]Modeler!F18</f>
        <v>396</v>
      </c>
      <c r="F18" s="29" t="str">
        <f>[1]Modeler!G18</f>
        <v/>
      </c>
      <c r="G18" s="32">
        <f>[1]Modeler!H18</f>
        <v>0</v>
      </c>
      <c r="H18" s="29">
        <f>[1]Modeler!J18</f>
        <v>0</v>
      </c>
      <c r="I18" s="29">
        <f>[1]Modeler!K18</f>
        <v>0</v>
      </c>
      <c r="J18" s="29">
        <f>[1]Modeler!L18</f>
        <v>0</v>
      </c>
      <c r="K18" s="29">
        <f>[1]Modeler!M18</f>
        <v>0</v>
      </c>
      <c r="L18" s="32">
        <f>[1]Modeler!N18</f>
        <v>0</v>
      </c>
      <c r="M18" s="29">
        <f>[1]Modeler!O18</f>
        <v>0</v>
      </c>
      <c r="N18" s="34">
        <f>[1]Modeler!P18</f>
        <v>0</v>
      </c>
      <c r="O18" s="32">
        <f>[1]Modeler!Q18</f>
        <v>0</v>
      </c>
      <c r="P18" s="29">
        <f>[1]Modeler!R18</f>
        <v>0</v>
      </c>
      <c r="Q18" s="34">
        <f>[1]Modeler!S18</f>
        <v>0</v>
      </c>
      <c r="R18" s="29">
        <f>[1]Modeler!T18</f>
        <v>0</v>
      </c>
      <c r="S18" s="29">
        <f>[1]Modeler!U18</f>
        <v>0</v>
      </c>
      <c r="T18" s="32">
        <f>[1]Modeler!V18</f>
        <v>0</v>
      </c>
      <c r="U18" s="29">
        <f>[1]Modeler!W18</f>
        <v>0</v>
      </c>
      <c r="V18" s="29">
        <f>[1]Modeler!X18</f>
        <v>0</v>
      </c>
      <c r="W18" s="32">
        <f>[1]Modeler!Y18</f>
        <v>0</v>
      </c>
      <c r="X18" s="29">
        <f>[1]Modeler!Z18</f>
        <v>0</v>
      </c>
      <c r="Y18" s="29">
        <f>[1]Modeler!AA18</f>
        <v>0</v>
      </c>
      <c r="Z18" s="32">
        <f>[1]Modeler!AB18</f>
        <v>0</v>
      </c>
      <c r="AA18" s="29">
        <f>[1]Modeler!AC18</f>
        <v>0</v>
      </c>
      <c r="AB18" s="29">
        <f>[1]Modeler!AD18</f>
        <v>0</v>
      </c>
      <c r="AC18" s="32">
        <f>[1]Modeler!AE18</f>
        <v>0</v>
      </c>
      <c r="AD18" s="29">
        <f>[1]Modeler!AF18</f>
        <v>0</v>
      </c>
      <c r="AE18" s="34">
        <f>[1]Modeler!AG18</f>
        <v>0</v>
      </c>
    </row>
    <row r="19" spans="1:85" x14ac:dyDescent="0.2">
      <c r="A19" s="29">
        <f>[1]Modeler!A19</f>
        <v>14</v>
      </c>
      <c r="B19" s="29">
        <f>[1]Modeler!B19</f>
        <v>0</v>
      </c>
      <c r="C19" s="29" t="str">
        <f>[1]Modeler!C19</f>
        <v>Acquisition</v>
      </c>
      <c r="D19" s="37">
        <f>[1]Modeler!D19</f>
        <v>44835</v>
      </c>
      <c r="E19" s="29">
        <f>[1]Modeler!F19</f>
        <v>31</v>
      </c>
      <c r="F19" s="29" t="str">
        <f>[1]Modeler!G19</f>
        <v/>
      </c>
      <c r="G19" s="32">
        <f>[1]Modeler!H19</f>
        <v>0</v>
      </c>
      <c r="H19" s="29">
        <f>[1]Modeler!J19</f>
        <v>0</v>
      </c>
      <c r="I19" s="29">
        <f>[1]Modeler!K19</f>
        <v>0</v>
      </c>
      <c r="J19" s="29">
        <f>[1]Modeler!L19</f>
        <v>0</v>
      </c>
      <c r="K19" s="29">
        <f>[1]Modeler!M19</f>
        <v>0</v>
      </c>
      <c r="L19" s="32">
        <f>[1]Modeler!N19</f>
        <v>0</v>
      </c>
      <c r="M19" s="29">
        <f>[1]Modeler!O19</f>
        <v>0</v>
      </c>
      <c r="N19" s="34">
        <f>[1]Modeler!P19</f>
        <v>0</v>
      </c>
      <c r="O19" s="32">
        <f>[1]Modeler!Q19</f>
        <v>0</v>
      </c>
      <c r="P19" s="29">
        <f>[1]Modeler!R19</f>
        <v>0</v>
      </c>
      <c r="Q19" s="34">
        <f>[1]Modeler!S19</f>
        <v>0</v>
      </c>
      <c r="R19" s="29">
        <f>[1]Modeler!T19</f>
        <v>0</v>
      </c>
      <c r="S19" s="29">
        <f>[1]Modeler!U19</f>
        <v>0</v>
      </c>
      <c r="T19" s="32">
        <f>[1]Modeler!V19</f>
        <v>0</v>
      </c>
      <c r="U19" s="29">
        <f>[1]Modeler!W19</f>
        <v>0</v>
      </c>
      <c r="V19" s="29">
        <f>[1]Modeler!X19</f>
        <v>0</v>
      </c>
      <c r="W19" s="32">
        <f>[1]Modeler!Y19</f>
        <v>0</v>
      </c>
      <c r="X19" s="29">
        <f>[1]Modeler!Z19</f>
        <v>0</v>
      </c>
      <c r="Y19" s="29">
        <f>[1]Modeler!AA19</f>
        <v>0</v>
      </c>
      <c r="Z19" s="32">
        <f>[1]Modeler!AB19</f>
        <v>0</v>
      </c>
      <c r="AA19" s="29">
        <f>[1]Modeler!AC19</f>
        <v>0</v>
      </c>
      <c r="AB19" s="29">
        <f>[1]Modeler!AD19</f>
        <v>0</v>
      </c>
      <c r="AC19" s="32">
        <f>[1]Modeler!AE19</f>
        <v>0</v>
      </c>
      <c r="AD19" s="29">
        <f>[1]Modeler!AF19</f>
        <v>0</v>
      </c>
      <c r="AE19" s="34">
        <f>[1]Modeler!AG19</f>
        <v>0</v>
      </c>
    </row>
    <row r="20" spans="1:85" x14ac:dyDescent="0.2">
      <c r="A20" s="29">
        <f>[1]Modeler!A20</f>
        <v>16</v>
      </c>
      <c r="B20" s="29">
        <f>[1]Modeler!B20</f>
        <v>0</v>
      </c>
      <c r="C20" s="29" t="str">
        <f>[1]Modeler!C20</f>
        <v>SUA &amp; Damages</v>
      </c>
      <c r="D20" s="37">
        <f>[1]Modeler!D20</f>
        <v>44866</v>
      </c>
      <c r="E20" s="29">
        <f>[1]Modeler!F20</f>
        <v>61</v>
      </c>
      <c r="F20" s="29" t="str">
        <f>[1]Modeler!G20</f>
        <v/>
      </c>
      <c r="G20" s="32">
        <f>[1]Modeler!H20</f>
        <v>0</v>
      </c>
      <c r="H20" s="29">
        <f>[1]Modeler!J20</f>
        <v>0</v>
      </c>
      <c r="I20" s="29">
        <f>[1]Modeler!K20</f>
        <v>0</v>
      </c>
      <c r="J20" s="29">
        <f>[1]Modeler!L20</f>
        <v>0</v>
      </c>
      <c r="K20" s="29">
        <f>[1]Modeler!M20</f>
        <v>0</v>
      </c>
      <c r="L20" s="32">
        <f>[1]Modeler!N20</f>
        <v>0</v>
      </c>
      <c r="M20" s="29">
        <f>[1]Modeler!O20</f>
        <v>0</v>
      </c>
      <c r="N20" s="34">
        <f>[1]Modeler!P20</f>
        <v>0</v>
      </c>
      <c r="O20" s="32">
        <f>[1]Modeler!Q20</f>
        <v>0</v>
      </c>
      <c r="P20" s="29">
        <f>[1]Modeler!R20</f>
        <v>0</v>
      </c>
      <c r="Q20" s="34">
        <f>[1]Modeler!S20</f>
        <v>0</v>
      </c>
      <c r="R20" s="29">
        <f>[1]Modeler!T20</f>
        <v>0</v>
      </c>
      <c r="S20" s="29">
        <f>[1]Modeler!U20</f>
        <v>0</v>
      </c>
      <c r="T20" s="32">
        <f>[1]Modeler!V20</f>
        <v>0</v>
      </c>
      <c r="U20" s="29">
        <f>[1]Modeler!W20</f>
        <v>0</v>
      </c>
      <c r="V20" s="29">
        <f>[1]Modeler!X20</f>
        <v>0</v>
      </c>
      <c r="W20" s="32">
        <f>[1]Modeler!Y20</f>
        <v>0</v>
      </c>
      <c r="X20" s="29">
        <f>[1]Modeler!Z20</f>
        <v>0</v>
      </c>
      <c r="Y20" s="29">
        <f>[1]Modeler!AA20</f>
        <v>0</v>
      </c>
      <c r="Z20" s="32">
        <f>[1]Modeler!AB20</f>
        <v>0</v>
      </c>
      <c r="AA20" s="29">
        <f>[1]Modeler!AC20</f>
        <v>0</v>
      </c>
      <c r="AB20" s="29">
        <f>[1]Modeler!AD20</f>
        <v>0</v>
      </c>
      <c r="AC20" s="32">
        <f>[1]Modeler!AE20</f>
        <v>0</v>
      </c>
      <c r="AD20" s="29">
        <f>[1]Modeler!AF20</f>
        <v>0</v>
      </c>
      <c r="AE20" s="34">
        <f>[1]Modeler!AG20</f>
        <v>0</v>
      </c>
    </row>
    <row r="21" spans="1:85" x14ac:dyDescent="0.2">
      <c r="A21" s="29">
        <f>[1]Modeler!A21</f>
        <v>17</v>
      </c>
      <c r="B21" s="29">
        <f>[1]Modeler!B21</f>
        <v>0</v>
      </c>
      <c r="C21" s="29" t="str">
        <f>[1]Modeler!C21</f>
        <v>Surface Site Prep, Facilities Repair &amp; Gas Mktg</v>
      </c>
      <c r="D21" s="37">
        <f>[1]Modeler!D21</f>
        <v>44896</v>
      </c>
      <c r="E21" s="29">
        <f>[1]Modeler!F21</f>
        <v>62</v>
      </c>
      <c r="F21" s="29" t="str">
        <f>[1]Modeler!G21</f>
        <v/>
      </c>
      <c r="G21" s="32">
        <f>[1]Modeler!H21</f>
        <v>0</v>
      </c>
      <c r="H21" s="29">
        <f>[1]Modeler!J21</f>
        <v>0</v>
      </c>
      <c r="I21" s="29">
        <f>[1]Modeler!K21</f>
        <v>0</v>
      </c>
      <c r="J21" s="29">
        <f>[1]Modeler!L21</f>
        <v>0</v>
      </c>
      <c r="K21" s="29">
        <f>[1]Modeler!M21</f>
        <v>0</v>
      </c>
      <c r="L21" s="32">
        <f>[1]Modeler!N21</f>
        <v>0</v>
      </c>
      <c r="M21" s="29">
        <f>[1]Modeler!O21</f>
        <v>0</v>
      </c>
      <c r="N21" s="34">
        <f>[1]Modeler!P21</f>
        <v>0</v>
      </c>
      <c r="O21" s="32">
        <f>[1]Modeler!Q21</f>
        <v>0</v>
      </c>
      <c r="P21" s="29">
        <f>[1]Modeler!R21</f>
        <v>0</v>
      </c>
      <c r="Q21" s="34">
        <f>[1]Modeler!S21</f>
        <v>0</v>
      </c>
      <c r="R21" s="29">
        <f>[1]Modeler!T21</f>
        <v>0</v>
      </c>
      <c r="S21" s="29">
        <f>[1]Modeler!U21</f>
        <v>0</v>
      </c>
      <c r="T21" s="32">
        <f>[1]Modeler!V21</f>
        <v>0</v>
      </c>
      <c r="U21" s="29">
        <f>[1]Modeler!W21</f>
        <v>0</v>
      </c>
      <c r="V21" s="29">
        <f>[1]Modeler!X21</f>
        <v>0</v>
      </c>
      <c r="W21" s="32">
        <f>[1]Modeler!Y21</f>
        <v>0</v>
      </c>
      <c r="X21" s="29">
        <f>[1]Modeler!Z21</f>
        <v>0</v>
      </c>
      <c r="Y21" s="29">
        <f>[1]Modeler!AA21</f>
        <v>0</v>
      </c>
      <c r="Z21" s="32">
        <f>[1]Modeler!AB21</f>
        <v>0</v>
      </c>
      <c r="AA21" s="29">
        <f>[1]Modeler!AC21</f>
        <v>0</v>
      </c>
      <c r="AB21" s="29">
        <f>[1]Modeler!AD21</f>
        <v>0</v>
      </c>
      <c r="AC21" s="32">
        <f>[1]Modeler!AE21</f>
        <v>0</v>
      </c>
      <c r="AD21" s="29">
        <f>[1]Modeler!AF21</f>
        <v>0</v>
      </c>
      <c r="AE21" s="34">
        <f>[1]Modeler!AG21</f>
        <v>0</v>
      </c>
    </row>
    <row r="22" spans="1:85" x14ac:dyDescent="0.2">
      <c r="A22" s="29">
        <f>[1]Modeler!A22</f>
        <v>18</v>
      </c>
      <c r="B22" s="29">
        <f>[1]Modeler!B22</f>
        <v>0</v>
      </c>
      <c r="C22" s="29" t="str">
        <f>[1]Modeler!C22</f>
        <v>Workover/Re-Entry</v>
      </c>
      <c r="D22" s="37">
        <f>[1]Modeler!D22</f>
        <v>44896</v>
      </c>
      <c r="E22" s="29">
        <f>[1]Modeler!F22</f>
        <v>31</v>
      </c>
      <c r="F22" s="29" t="str">
        <f>[1]Modeler!G22</f>
        <v/>
      </c>
      <c r="G22" s="32">
        <f>[1]Modeler!H22</f>
        <v>0</v>
      </c>
      <c r="H22" s="29">
        <f>[1]Modeler!J22</f>
        <v>0</v>
      </c>
      <c r="I22" s="29">
        <f>[1]Modeler!K22</f>
        <v>0</v>
      </c>
      <c r="J22" s="29">
        <f>[1]Modeler!L22</f>
        <v>0</v>
      </c>
      <c r="K22" s="29">
        <f>[1]Modeler!M22</f>
        <v>0</v>
      </c>
      <c r="L22" s="32">
        <f>[1]Modeler!N22</f>
        <v>0</v>
      </c>
      <c r="M22" s="29">
        <f>[1]Modeler!O22</f>
        <v>0</v>
      </c>
      <c r="N22" s="34">
        <f>[1]Modeler!P22</f>
        <v>0</v>
      </c>
      <c r="O22" s="32">
        <f>[1]Modeler!Q22</f>
        <v>0</v>
      </c>
      <c r="P22" s="29">
        <f>[1]Modeler!R22</f>
        <v>0</v>
      </c>
      <c r="Q22" s="34">
        <f>[1]Modeler!S22</f>
        <v>0</v>
      </c>
      <c r="R22" s="29">
        <f>[1]Modeler!T22</f>
        <v>0</v>
      </c>
      <c r="S22" s="29">
        <f>[1]Modeler!U22</f>
        <v>0</v>
      </c>
      <c r="T22" s="32">
        <f>[1]Modeler!V22</f>
        <v>0</v>
      </c>
      <c r="U22" s="29">
        <f>[1]Modeler!W22</f>
        <v>0</v>
      </c>
      <c r="V22" s="29">
        <f>[1]Modeler!X22</f>
        <v>0</v>
      </c>
      <c r="W22" s="32">
        <f>[1]Modeler!Y22</f>
        <v>0</v>
      </c>
      <c r="X22" s="29">
        <f>[1]Modeler!Z22</f>
        <v>0</v>
      </c>
      <c r="Y22" s="29">
        <f>[1]Modeler!AA22</f>
        <v>0</v>
      </c>
      <c r="Z22" s="32">
        <f>[1]Modeler!AB22</f>
        <v>0</v>
      </c>
      <c r="AA22" s="29">
        <f>[1]Modeler!AC22</f>
        <v>0</v>
      </c>
      <c r="AB22" s="29">
        <f>[1]Modeler!AD22</f>
        <v>0</v>
      </c>
      <c r="AC22" s="32">
        <f>[1]Modeler!AE22</f>
        <v>0</v>
      </c>
      <c r="AD22" s="29">
        <f>[1]Modeler!AF22</f>
        <v>0</v>
      </c>
      <c r="AE22" s="34">
        <f>[1]Modeler!AG22</f>
        <v>0</v>
      </c>
    </row>
    <row r="23" spans="1:85" x14ac:dyDescent="0.2">
      <c r="A23" s="29">
        <f>[1]Modeler!A23</f>
        <v>19</v>
      </c>
      <c r="B23" s="29">
        <f>[1]Modeler!B23</f>
        <v>0</v>
      </c>
      <c r="C23" s="29" t="str">
        <f>[1]Modeler!C23</f>
        <v>Flow Test</v>
      </c>
      <c r="D23" s="37">
        <f>[1]Modeler!D23</f>
        <v>44926</v>
      </c>
      <c r="E23" s="29">
        <f>[1]Modeler!F23</f>
        <v>91</v>
      </c>
      <c r="F23" s="29" t="str">
        <f>[1]Modeler!G23</f>
        <v/>
      </c>
      <c r="G23" s="32">
        <f>[1]Modeler!H23</f>
        <v>0</v>
      </c>
      <c r="H23" s="29">
        <f>[1]Modeler!J23</f>
        <v>0</v>
      </c>
      <c r="I23" s="29">
        <f>[1]Modeler!K23</f>
        <v>0</v>
      </c>
      <c r="J23" s="29">
        <f>[1]Modeler!L23</f>
        <v>0</v>
      </c>
      <c r="K23" s="29">
        <f>[1]Modeler!M23</f>
        <v>0</v>
      </c>
      <c r="L23" s="32">
        <f>[1]Modeler!N23</f>
        <v>0</v>
      </c>
      <c r="M23" s="29">
        <f>[1]Modeler!O23</f>
        <v>0</v>
      </c>
      <c r="N23" s="34">
        <f>[1]Modeler!P23</f>
        <v>0</v>
      </c>
      <c r="O23" s="32">
        <f>[1]Modeler!Q23</f>
        <v>0</v>
      </c>
      <c r="P23" s="29">
        <f>[1]Modeler!R23</f>
        <v>0</v>
      </c>
      <c r="Q23" s="34">
        <f>[1]Modeler!S23</f>
        <v>0</v>
      </c>
      <c r="R23" s="29">
        <f>[1]Modeler!T23</f>
        <v>0</v>
      </c>
      <c r="S23" s="29">
        <f>[1]Modeler!U23</f>
        <v>0</v>
      </c>
      <c r="T23" s="32">
        <f>[1]Modeler!V23</f>
        <v>0</v>
      </c>
      <c r="U23" s="29">
        <f>[1]Modeler!W23</f>
        <v>0</v>
      </c>
      <c r="V23" s="29">
        <f>[1]Modeler!X23</f>
        <v>0</v>
      </c>
      <c r="W23" s="32">
        <f>[1]Modeler!Y23</f>
        <v>0</v>
      </c>
      <c r="X23" s="29">
        <f>[1]Modeler!Z23</f>
        <v>0</v>
      </c>
      <c r="Y23" s="29">
        <f>[1]Modeler!AA23</f>
        <v>0</v>
      </c>
      <c r="Z23" s="32">
        <f>[1]Modeler!AB23</f>
        <v>0</v>
      </c>
      <c r="AA23" s="29">
        <f>[1]Modeler!AC23</f>
        <v>0</v>
      </c>
      <c r="AB23" s="29">
        <f>[1]Modeler!AD23</f>
        <v>0</v>
      </c>
      <c r="AC23" s="32">
        <f>[1]Modeler!AE23</f>
        <v>0</v>
      </c>
      <c r="AD23" s="29">
        <f>[1]Modeler!AF23</f>
        <v>0</v>
      </c>
      <c r="AE23" s="34">
        <f>[1]Modeler!AG23</f>
        <v>0</v>
      </c>
    </row>
    <row r="24" spans="1:85" x14ac:dyDescent="0.2">
      <c r="A24" s="29">
        <f>[1]Modeler!A24</f>
        <v>20</v>
      </c>
      <c r="B24" s="29">
        <f>[1]Modeler!B24</f>
        <v>0</v>
      </c>
      <c r="C24" s="29" t="str">
        <f>[1]Modeler!C24</f>
        <v>Conversion Workover - Ops Planning</v>
      </c>
      <c r="D24" s="37">
        <f>[1]Modeler!D24</f>
        <v>45017</v>
      </c>
      <c r="E24" s="29">
        <f>[1]Modeler!F24</f>
        <v>61</v>
      </c>
      <c r="F24" s="29" t="str">
        <f>[1]Modeler!G24</f>
        <v/>
      </c>
      <c r="G24" s="32">
        <f>[1]Modeler!H24</f>
        <v>0</v>
      </c>
      <c r="H24" s="29">
        <f>[1]Modeler!J24</f>
        <v>0</v>
      </c>
      <c r="I24" s="29">
        <f>[1]Modeler!K24</f>
        <v>0</v>
      </c>
      <c r="J24" s="29">
        <f>[1]Modeler!L24</f>
        <v>0</v>
      </c>
      <c r="K24" s="29">
        <f>[1]Modeler!M24</f>
        <v>0</v>
      </c>
      <c r="L24" s="32">
        <f>[1]Modeler!N24</f>
        <v>0</v>
      </c>
      <c r="M24" s="29">
        <f>[1]Modeler!O24</f>
        <v>0</v>
      </c>
      <c r="N24" s="34">
        <f>[1]Modeler!P24</f>
        <v>0</v>
      </c>
      <c r="O24" s="32">
        <f>[1]Modeler!Q24</f>
        <v>0</v>
      </c>
      <c r="P24" s="29">
        <f>[1]Modeler!R24</f>
        <v>0</v>
      </c>
      <c r="Q24" s="34">
        <f>[1]Modeler!S24</f>
        <v>0</v>
      </c>
      <c r="R24" s="29">
        <f>[1]Modeler!T24</f>
        <v>0</v>
      </c>
      <c r="S24" s="29">
        <f>[1]Modeler!U24</f>
        <v>0</v>
      </c>
      <c r="T24" s="32">
        <f>[1]Modeler!V24</f>
        <v>0</v>
      </c>
      <c r="U24" s="29">
        <f>[1]Modeler!W24</f>
        <v>0</v>
      </c>
      <c r="V24" s="29">
        <f>[1]Modeler!X24</f>
        <v>0</v>
      </c>
      <c r="W24" s="32">
        <f>[1]Modeler!Y24</f>
        <v>0</v>
      </c>
      <c r="X24" s="29">
        <f>[1]Modeler!Z24</f>
        <v>0</v>
      </c>
      <c r="Y24" s="29">
        <f>[1]Modeler!AA24</f>
        <v>0</v>
      </c>
      <c r="Z24" s="32">
        <f>[1]Modeler!AB24</f>
        <v>0</v>
      </c>
      <c r="AA24" s="29">
        <f>[1]Modeler!AC24</f>
        <v>0</v>
      </c>
      <c r="AB24" s="29">
        <f>[1]Modeler!AD24</f>
        <v>0</v>
      </c>
      <c r="AC24" s="32">
        <f>[1]Modeler!AE24</f>
        <v>0</v>
      </c>
      <c r="AD24" s="29">
        <f>[1]Modeler!AF24</f>
        <v>0</v>
      </c>
      <c r="AE24" s="34">
        <f>[1]Modeler!AG24</f>
        <v>0</v>
      </c>
    </row>
    <row r="25" spans="1:85" x14ac:dyDescent="0.2">
      <c r="A25" s="29">
        <f>[1]Modeler!A25</f>
        <v>21</v>
      </c>
      <c r="B25" s="29">
        <f>[1]Modeler!B25</f>
        <v>0</v>
      </c>
      <c r="C25" s="29" t="str">
        <f>[1]Modeler!C25</f>
        <v>Permitting for Conversion</v>
      </c>
      <c r="D25" s="37">
        <f>[1]Modeler!D25</f>
        <v>45170</v>
      </c>
      <c r="E25" s="29">
        <f>[1]Modeler!F25</f>
        <v>30</v>
      </c>
      <c r="F25" s="29" t="str">
        <f>[1]Modeler!G25</f>
        <v/>
      </c>
      <c r="G25" s="32">
        <f>[1]Modeler!H25</f>
        <v>0</v>
      </c>
      <c r="H25" s="29">
        <f>[1]Modeler!J25</f>
        <v>0</v>
      </c>
      <c r="I25" s="29">
        <f>[1]Modeler!K25</f>
        <v>0</v>
      </c>
      <c r="J25" s="29">
        <f>[1]Modeler!L25</f>
        <v>0</v>
      </c>
      <c r="K25" s="29">
        <f>[1]Modeler!M25</f>
        <v>0</v>
      </c>
      <c r="L25" s="32">
        <f>[1]Modeler!N25</f>
        <v>0</v>
      </c>
      <c r="M25" s="29">
        <f>[1]Modeler!O25</f>
        <v>0</v>
      </c>
      <c r="N25" s="34">
        <f>[1]Modeler!P25</f>
        <v>0</v>
      </c>
      <c r="O25" s="32">
        <f>[1]Modeler!Q25</f>
        <v>0</v>
      </c>
      <c r="P25" s="29">
        <f>[1]Modeler!R25</f>
        <v>0</v>
      </c>
      <c r="Q25" s="34">
        <f>[1]Modeler!S25</f>
        <v>0</v>
      </c>
      <c r="R25" s="29">
        <f>[1]Modeler!T25</f>
        <v>0</v>
      </c>
      <c r="S25" s="29">
        <f>[1]Modeler!U25</f>
        <v>0</v>
      </c>
      <c r="T25" s="32">
        <f>[1]Modeler!V25</f>
        <v>0</v>
      </c>
      <c r="U25" s="29">
        <f>[1]Modeler!W25</f>
        <v>0</v>
      </c>
      <c r="V25" s="29">
        <f>[1]Modeler!X25</f>
        <v>0</v>
      </c>
      <c r="W25" s="32">
        <f>[1]Modeler!Y25</f>
        <v>0</v>
      </c>
      <c r="X25" s="29">
        <f>[1]Modeler!Z25</f>
        <v>0</v>
      </c>
      <c r="Y25" s="29">
        <f>[1]Modeler!AA25</f>
        <v>0</v>
      </c>
      <c r="Z25" s="32">
        <f>[1]Modeler!AB25</f>
        <v>0</v>
      </c>
      <c r="AA25" s="29">
        <f>[1]Modeler!AC25</f>
        <v>0</v>
      </c>
      <c r="AB25" s="29">
        <f>[1]Modeler!AD25</f>
        <v>0</v>
      </c>
      <c r="AC25" s="32">
        <f>[1]Modeler!AE25</f>
        <v>0</v>
      </c>
      <c r="AD25" s="29">
        <f>[1]Modeler!AF25</f>
        <v>0</v>
      </c>
      <c r="AE25" s="34">
        <f>[1]Modeler!AG25</f>
        <v>0</v>
      </c>
    </row>
    <row r="26" spans="1:85" x14ac:dyDescent="0.2">
      <c r="A26" s="29">
        <f>[1]Modeler!A26</f>
        <v>22</v>
      </c>
      <c r="B26" s="29">
        <f>[1]Modeler!B26</f>
        <v>0</v>
      </c>
      <c r="C26" s="29" t="str">
        <f>[1]Modeler!C26</f>
        <v>Conversion Workover</v>
      </c>
      <c r="D26" s="37">
        <f>[1]Modeler!D26</f>
        <v>45214</v>
      </c>
      <c r="E26" s="29">
        <f>[1]Modeler!F26</f>
        <v>17</v>
      </c>
      <c r="F26" s="29" t="str">
        <f>[1]Modeler!G26</f>
        <v/>
      </c>
      <c r="G26" s="32">
        <f>[1]Modeler!H26</f>
        <v>0</v>
      </c>
      <c r="H26" s="29">
        <f>[1]Modeler!J26</f>
        <v>0</v>
      </c>
      <c r="I26" s="29">
        <f>[1]Modeler!K26</f>
        <v>0</v>
      </c>
      <c r="J26" s="29">
        <f>[1]Modeler!L26</f>
        <v>0</v>
      </c>
      <c r="K26" s="29">
        <f>[1]Modeler!M26</f>
        <v>0</v>
      </c>
      <c r="L26" s="32">
        <f>[1]Modeler!N26</f>
        <v>0</v>
      </c>
      <c r="M26" s="29">
        <f>[1]Modeler!O26</f>
        <v>0</v>
      </c>
      <c r="N26" s="34">
        <f>[1]Modeler!P26</f>
        <v>0</v>
      </c>
      <c r="O26" s="32">
        <f>[1]Modeler!Q26</f>
        <v>0</v>
      </c>
      <c r="P26" s="29">
        <f>[1]Modeler!R26</f>
        <v>0</v>
      </c>
      <c r="Q26" s="34">
        <f>[1]Modeler!S26</f>
        <v>0</v>
      </c>
      <c r="R26" s="29">
        <f>[1]Modeler!T26</f>
        <v>0</v>
      </c>
      <c r="S26" s="29">
        <f>[1]Modeler!U26</f>
        <v>0</v>
      </c>
      <c r="T26" s="32">
        <f>[1]Modeler!V26</f>
        <v>0</v>
      </c>
      <c r="U26" s="29">
        <f>[1]Modeler!W26</f>
        <v>0</v>
      </c>
      <c r="V26" s="29">
        <f>[1]Modeler!X26</f>
        <v>0</v>
      </c>
      <c r="W26" s="32">
        <f>[1]Modeler!Y26</f>
        <v>0</v>
      </c>
      <c r="X26" s="29">
        <f>[1]Modeler!Z26</f>
        <v>0</v>
      </c>
      <c r="Y26" s="29">
        <f>[1]Modeler!AA26</f>
        <v>0</v>
      </c>
      <c r="Z26" s="32">
        <f>[1]Modeler!AB26</f>
        <v>0</v>
      </c>
      <c r="AA26" s="29">
        <f>[1]Modeler!AC26</f>
        <v>0</v>
      </c>
      <c r="AB26" s="29">
        <f>[1]Modeler!AD26</f>
        <v>0</v>
      </c>
      <c r="AC26" s="32">
        <f>[1]Modeler!AE26</f>
        <v>0</v>
      </c>
      <c r="AD26" s="29">
        <f>[1]Modeler!AF26</f>
        <v>0</v>
      </c>
      <c r="AE26" s="34">
        <f>[1]Modeler!AG26</f>
        <v>0</v>
      </c>
    </row>
    <row r="27" spans="1:85" x14ac:dyDescent="0.2">
      <c r="A27" s="29">
        <f>[1]Modeler!A27</f>
        <v>23</v>
      </c>
      <c r="B27" s="29">
        <f>[1]Modeler!B27</f>
        <v>0</v>
      </c>
      <c r="C27" s="29">
        <f>[1]Modeler!C27</f>
        <v>0</v>
      </c>
      <c r="D27" s="37">
        <f>[1]Modeler!D27</f>
        <v>0</v>
      </c>
      <c r="E27" s="29" t="str">
        <f>[1]Modeler!F27</f>
        <v/>
      </c>
      <c r="F27" s="29" t="str">
        <f>[1]Modeler!G27</f>
        <v/>
      </c>
      <c r="G27" s="32">
        <f>[1]Modeler!H27</f>
        <v>0</v>
      </c>
      <c r="H27" s="29">
        <f>[1]Modeler!J27</f>
        <v>0</v>
      </c>
      <c r="I27" s="29">
        <f>[1]Modeler!K27</f>
        <v>0</v>
      </c>
      <c r="J27" s="29">
        <f>[1]Modeler!L27</f>
        <v>0</v>
      </c>
      <c r="K27" s="29">
        <f>[1]Modeler!M27</f>
        <v>0</v>
      </c>
      <c r="L27" s="32">
        <f>[1]Modeler!N27</f>
        <v>0</v>
      </c>
      <c r="M27" s="29">
        <f>[1]Modeler!O27</f>
        <v>0</v>
      </c>
      <c r="N27" s="34">
        <f>[1]Modeler!P27</f>
        <v>0</v>
      </c>
      <c r="O27" s="32">
        <f>[1]Modeler!Q27</f>
        <v>0</v>
      </c>
      <c r="P27" s="29">
        <f>[1]Modeler!R27</f>
        <v>0</v>
      </c>
      <c r="Q27" s="34">
        <f>[1]Modeler!S27</f>
        <v>0</v>
      </c>
      <c r="R27" s="29">
        <f>[1]Modeler!T27</f>
        <v>0</v>
      </c>
      <c r="S27" s="29">
        <f>[1]Modeler!U27</f>
        <v>0</v>
      </c>
      <c r="T27" s="32">
        <f>[1]Modeler!V27</f>
        <v>0</v>
      </c>
      <c r="U27" s="29">
        <f>[1]Modeler!W27</f>
        <v>0</v>
      </c>
      <c r="V27" s="29">
        <f>[1]Modeler!X27</f>
        <v>0</v>
      </c>
      <c r="W27" s="32">
        <f>[1]Modeler!Y27</f>
        <v>0</v>
      </c>
      <c r="X27" s="29">
        <f>[1]Modeler!Z27</f>
        <v>0</v>
      </c>
      <c r="Y27" s="29">
        <f>[1]Modeler!AA27</f>
        <v>0</v>
      </c>
      <c r="Z27" s="32">
        <f>[1]Modeler!AB27</f>
        <v>0</v>
      </c>
      <c r="AA27" s="29">
        <f>[1]Modeler!AC27</f>
        <v>0</v>
      </c>
      <c r="AB27" s="29">
        <f>[1]Modeler!AD27</f>
        <v>0</v>
      </c>
      <c r="AC27" s="32">
        <f>[1]Modeler!AE27</f>
        <v>0</v>
      </c>
      <c r="AD27" s="29">
        <f>[1]Modeler!AF27</f>
        <v>0</v>
      </c>
      <c r="AE27" s="34">
        <f>[1]Modeler!AG27</f>
        <v>0</v>
      </c>
    </row>
    <row r="28" spans="1:85" x14ac:dyDescent="0.2">
      <c r="A28" s="29">
        <f>[1]Modeler!A28</f>
        <v>24</v>
      </c>
      <c r="B28" s="29">
        <f>[1]Modeler!B28</f>
        <v>0</v>
      </c>
      <c r="C28" s="29" t="str">
        <f>[1]Modeler!C28</f>
        <v>PURE #1D ACTIVITIES</v>
      </c>
      <c r="D28" s="37">
        <f>[1]Modeler!D28</f>
        <v>44835</v>
      </c>
      <c r="E28" s="29">
        <f>[1]Modeler!F28</f>
        <v>517</v>
      </c>
      <c r="F28" s="29" t="str">
        <f>[1]Modeler!G28</f>
        <v/>
      </c>
      <c r="G28" s="32">
        <f>[1]Modeler!H28</f>
        <v>0</v>
      </c>
      <c r="H28" s="29">
        <f>[1]Modeler!J28</f>
        <v>0</v>
      </c>
      <c r="I28" s="29">
        <f>[1]Modeler!K28</f>
        <v>0</v>
      </c>
      <c r="J28" s="29">
        <f>[1]Modeler!L28</f>
        <v>0</v>
      </c>
      <c r="K28" s="29">
        <f>[1]Modeler!M28</f>
        <v>0</v>
      </c>
      <c r="L28" s="32">
        <f>[1]Modeler!N28</f>
        <v>0</v>
      </c>
      <c r="M28" s="29">
        <f>[1]Modeler!O28</f>
        <v>0</v>
      </c>
      <c r="N28" s="34">
        <f>[1]Modeler!P28</f>
        <v>0</v>
      </c>
      <c r="O28" s="32">
        <f>[1]Modeler!Q28</f>
        <v>0</v>
      </c>
      <c r="P28" s="29">
        <f>[1]Modeler!R28</f>
        <v>0</v>
      </c>
      <c r="Q28" s="34">
        <f>[1]Modeler!S28</f>
        <v>0</v>
      </c>
      <c r="R28" s="29">
        <f>[1]Modeler!T28</f>
        <v>0</v>
      </c>
      <c r="S28" s="29">
        <f>[1]Modeler!U28</f>
        <v>0</v>
      </c>
      <c r="T28" s="32">
        <f>[1]Modeler!V28</f>
        <v>0</v>
      </c>
      <c r="U28" s="29">
        <f>[1]Modeler!W28</f>
        <v>0</v>
      </c>
      <c r="V28" s="29">
        <f>[1]Modeler!X28</f>
        <v>0</v>
      </c>
      <c r="W28" s="32">
        <f>[1]Modeler!Y28</f>
        <v>0</v>
      </c>
      <c r="X28" s="29">
        <f>[1]Modeler!Z28</f>
        <v>0</v>
      </c>
      <c r="Y28" s="29">
        <f>[1]Modeler!AA28</f>
        <v>0</v>
      </c>
      <c r="Z28" s="32">
        <f>[1]Modeler!AB28</f>
        <v>0</v>
      </c>
      <c r="AA28" s="29">
        <f>[1]Modeler!AC28</f>
        <v>0</v>
      </c>
      <c r="AB28" s="29">
        <f>[1]Modeler!AD28</f>
        <v>0</v>
      </c>
      <c r="AC28" s="32">
        <f>[1]Modeler!AE28</f>
        <v>0</v>
      </c>
      <c r="AD28" s="29">
        <f>[1]Modeler!AF28</f>
        <v>0</v>
      </c>
      <c r="AE28" s="34">
        <f>[1]Modeler!AG28</f>
        <v>0</v>
      </c>
    </row>
    <row r="29" spans="1:85" x14ac:dyDescent="0.2">
      <c r="A29" s="29">
        <f>[1]Modeler!A29</f>
        <v>25</v>
      </c>
      <c r="B29" s="29">
        <f>[1]Modeler!B29</f>
        <v>0</v>
      </c>
      <c r="C29" s="29" t="str">
        <f>[1]Modeler!C29</f>
        <v>Acquisition</v>
      </c>
      <c r="D29" s="37">
        <f>[1]Modeler!D29</f>
        <v>44835</v>
      </c>
      <c r="E29" s="29">
        <f>[1]Modeler!F29</f>
        <v>31</v>
      </c>
      <c r="F29" s="29" t="str">
        <f>[1]Modeler!G29</f>
        <v/>
      </c>
      <c r="G29" s="32">
        <f>[1]Modeler!H29</f>
        <v>0</v>
      </c>
      <c r="H29" s="29">
        <f>[1]Modeler!J29</f>
        <v>0</v>
      </c>
      <c r="I29" s="29">
        <f>[1]Modeler!K29</f>
        <v>0</v>
      </c>
      <c r="J29" s="29">
        <f>[1]Modeler!L29</f>
        <v>0</v>
      </c>
      <c r="K29" s="29">
        <f>[1]Modeler!M29</f>
        <v>0</v>
      </c>
      <c r="L29" s="32">
        <f>[1]Modeler!N29</f>
        <v>0</v>
      </c>
      <c r="M29" s="29">
        <f>[1]Modeler!O29</f>
        <v>0</v>
      </c>
      <c r="N29" s="34">
        <f>[1]Modeler!P29</f>
        <v>0</v>
      </c>
      <c r="O29" s="32">
        <f>[1]Modeler!Q29</f>
        <v>0</v>
      </c>
      <c r="P29" s="29">
        <f>[1]Modeler!R29</f>
        <v>0</v>
      </c>
      <c r="Q29" s="34">
        <f>[1]Modeler!S29</f>
        <v>0</v>
      </c>
      <c r="R29" s="29">
        <f>[1]Modeler!T29</f>
        <v>0</v>
      </c>
      <c r="S29" s="29">
        <f>[1]Modeler!U29</f>
        <v>0</v>
      </c>
      <c r="T29" s="32">
        <f>[1]Modeler!V29</f>
        <v>0</v>
      </c>
      <c r="U29" s="29">
        <f>[1]Modeler!W29</f>
        <v>0</v>
      </c>
      <c r="V29" s="29">
        <f>[1]Modeler!X29</f>
        <v>0</v>
      </c>
      <c r="W29" s="32">
        <f>[1]Modeler!Y29</f>
        <v>0</v>
      </c>
      <c r="X29" s="29">
        <f>[1]Modeler!Z29</f>
        <v>0</v>
      </c>
      <c r="Y29" s="29">
        <f>[1]Modeler!AA29</f>
        <v>0</v>
      </c>
      <c r="Z29" s="32">
        <f>[1]Modeler!AB29</f>
        <v>0</v>
      </c>
      <c r="AA29" s="29">
        <f>[1]Modeler!AC29</f>
        <v>0</v>
      </c>
      <c r="AB29" s="29">
        <f>[1]Modeler!AD29</f>
        <v>0</v>
      </c>
      <c r="AC29" s="32">
        <f>[1]Modeler!AE29</f>
        <v>0</v>
      </c>
      <c r="AD29" s="29">
        <f>[1]Modeler!AF29</f>
        <v>0</v>
      </c>
      <c r="AE29" s="34">
        <f>[1]Modeler!AG29</f>
        <v>0</v>
      </c>
    </row>
    <row r="30" spans="1:85" x14ac:dyDescent="0.2">
      <c r="A30" s="29">
        <f>[1]Modeler!A30</f>
        <v>26</v>
      </c>
      <c r="B30" s="29">
        <f>[1]Modeler!B30</f>
        <v>0</v>
      </c>
      <c r="C30" s="29" t="str">
        <f>[1]Modeler!C30</f>
        <v>Surface Site Prep, Facilities Repair &amp; Injection Testing</v>
      </c>
      <c r="D30" s="37">
        <f>[1]Modeler!D30</f>
        <v>44866</v>
      </c>
      <c r="E30" s="29">
        <f>[1]Modeler!F30</f>
        <v>30</v>
      </c>
      <c r="F30" s="29" t="str">
        <f>[1]Modeler!G30</f>
        <v/>
      </c>
      <c r="G30" s="32">
        <f>[1]Modeler!H30</f>
        <v>0</v>
      </c>
      <c r="H30" s="29">
        <f>[1]Modeler!J30</f>
        <v>0</v>
      </c>
      <c r="I30" s="29">
        <f>[1]Modeler!K30</f>
        <v>0</v>
      </c>
      <c r="J30" s="29">
        <f>[1]Modeler!L30</f>
        <v>0</v>
      </c>
      <c r="K30" s="29">
        <f>[1]Modeler!M30</f>
        <v>0</v>
      </c>
      <c r="L30" s="32">
        <f>[1]Modeler!N30</f>
        <v>0</v>
      </c>
      <c r="M30" s="29">
        <f>[1]Modeler!O30</f>
        <v>0</v>
      </c>
      <c r="N30" s="34">
        <f>[1]Modeler!P30</f>
        <v>0</v>
      </c>
      <c r="O30" s="32">
        <f>[1]Modeler!Q30</f>
        <v>0</v>
      </c>
      <c r="P30" s="29">
        <f>[1]Modeler!R30</f>
        <v>0</v>
      </c>
      <c r="Q30" s="34">
        <f>[1]Modeler!S30</f>
        <v>0</v>
      </c>
      <c r="R30" s="29">
        <f>[1]Modeler!T30</f>
        <v>0</v>
      </c>
      <c r="S30" s="29">
        <f>[1]Modeler!U30</f>
        <v>0</v>
      </c>
      <c r="T30" s="32">
        <f>[1]Modeler!V30</f>
        <v>0</v>
      </c>
      <c r="U30" s="29">
        <f>[1]Modeler!W30</f>
        <v>0</v>
      </c>
      <c r="V30" s="29">
        <f>[1]Modeler!X30</f>
        <v>0</v>
      </c>
      <c r="W30" s="32">
        <f>[1]Modeler!Y30</f>
        <v>0</v>
      </c>
      <c r="X30" s="29">
        <f>[1]Modeler!Z30</f>
        <v>0</v>
      </c>
      <c r="Y30" s="29">
        <f>[1]Modeler!AA30</f>
        <v>0</v>
      </c>
      <c r="Z30" s="32">
        <f>[1]Modeler!AB30</f>
        <v>0</v>
      </c>
      <c r="AA30" s="29">
        <f>[1]Modeler!AC30</f>
        <v>0</v>
      </c>
      <c r="AB30" s="29">
        <f>[1]Modeler!AD30</f>
        <v>0</v>
      </c>
      <c r="AC30" s="32">
        <f>[1]Modeler!AE30</f>
        <v>0</v>
      </c>
      <c r="AD30" s="29">
        <f>[1]Modeler!AF30</f>
        <v>0</v>
      </c>
      <c r="AE30" s="34">
        <f>[1]Modeler!AG30</f>
        <v>0</v>
      </c>
    </row>
    <row r="31" spans="1:85" x14ac:dyDescent="0.2">
      <c r="A31" s="29">
        <f>[1]Modeler!A31</f>
        <v>50</v>
      </c>
      <c r="B31" s="29">
        <f>[1]Modeler!B31</f>
        <v>0</v>
      </c>
      <c r="C31" s="29" t="str">
        <f>[1]Modeler!C31</f>
        <v>Disposal Operations</v>
      </c>
      <c r="D31" s="37">
        <f>[1]Modeler!D31</f>
        <v>44926</v>
      </c>
      <c r="E31" s="29">
        <f>[1]Modeler!F31</f>
        <v>91</v>
      </c>
      <c r="F31" s="29" t="str">
        <f>[1]Modeler!G31</f>
        <v/>
      </c>
      <c r="G31" s="32">
        <f>[1]Modeler!H31</f>
        <v>0</v>
      </c>
      <c r="H31" s="29">
        <f>[1]Modeler!J31</f>
        <v>0</v>
      </c>
      <c r="I31" s="29">
        <f>[1]Modeler!K31</f>
        <v>0</v>
      </c>
      <c r="J31" s="29">
        <f>[1]Modeler!L31</f>
        <v>0</v>
      </c>
      <c r="K31" s="29">
        <f>[1]Modeler!M31</f>
        <v>0</v>
      </c>
      <c r="L31" s="32">
        <f>[1]Modeler!N31</f>
        <v>0</v>
      </c>
      <c r="M31" s="29">
        <f>[1]Modeler!O31</f>
        <v>0</v>
      </c>
      <c r="N31" s="34">
        <f>[1]Modeler!P31</f>
        <v>0</v>
      </c>
      <c r="O31" s="32">
        <f>[1]Modeler!Q31</f>
        <v>0</v>
      </c>
      <c r="P31" s="29">
        <f>[1]Modeler!R31</f>
        <v>0</v>
      </c>
      <c r="Q31" s="34">
        <f>[1]Modeler!S31</f>
        <v>0</v>
      </c>
      <c r="R31" s="29">
        <f>[1]Modeler!T31</f>
        <v>0</v>
      </c>
      <c r="S31" s="29">
        <f>[1]Modeler!U31</f>
        <v>0</v>
      </c>
      <c r="T31" s="32">
        <f>[1]Modeler!V31</f>
        <v>0</v>
      </c>
      <c r="U31" s="29">
        <f>[1]Modeler!W31</f>
        <v>0</v>
      </c>
      <c r="V31" s="29">
        <f>[1]Modeler!X31</f>
        <v>0</v>
      </c>
      <c r="W31" s="32">
        <f>[1]Modeler!Y31</f>
        <v>0</v>
      </c>
      <c r="X31" s="29">
        <f>[1]Modeler!Z31</f>
        <v>0</v>
      </c>
      <c r="Y31" s="29">
        <f>[1]Modeler!AA31</f>
        <v>0</v>
      </c>
      <c r="Z31" s="32">
        <f>[1]Modeler!AB31</f>
        <v>0</v>
      </c>
      <c r="AA31" s="29">
        <f>[1]Modeler!AC31</f>
        <v>0</v>
      </c>
      <c r="AB31" s="29">
        <f>[1]Modeler!AD31</f>
        <v>0</v>
      </c>
      <c r="AC31" s="32">
        <f>[1]Modeler!AE31</f>
        <v>0</v>
      </c>
      <c r="AD31" s="29">
        <f>[1]Modeler!AF31</f>
        <v>0</v>
      </c>
      <c r="AE31" s="34">
        <f>[1]Modeler!AG31</f>
        <v>0</v>
      </c>
    </row>
    <row r="32" spans="1:85" x14ac:dyDescent="0.2">
      <c r="A32" s="29">
        <f>[1]Modeler!A32</f>
        <v>51</v>
      </c>
      <c r="B32" s="29">
        <f>[1]Modeler!B32</f>
        <v>0</v>
      </c>
      <c r="C32" s="29" t="str">
        <f>[1]Modeler!C32</f>
        <v>Surface Equipment Removal</v>
      </c>
      <c r="D32" s="37">
        <f>[1]Modeler!D32</f>
        <v>45292</v>
      </c>
      <c r="E32" s="29">
        <f>[1]Modeler!F32</f>
        <v>60</v>
      </c>
      <c r="F32" s="29" t="str">
        <f>[1]Modeler!G32</f>
        <v/>
      </c>
      <c r="G32" s="32">
        <f>[1]Modeler!H32</f>
        <v>0</v>
      </c>
      <c r="H32" s="29">
        <f>[1]Modeler!J32</f>
        <v>0</v>
      </c>
      <c r="I32" s="29">
        <f>[1]Modeler!K32</f>
        <v>0</v>
      </c>
      <c r="J32" s="29">
        <f>[1]Modeler!L32</f>
        <v>0</v>
      </c>
      <c r="K32" s="29">
        <f>[1]Modeler!M32</f>
        <v>0</v>
      </c>
      <c r="L32" s="32">
        <f>[1]Modeler!N32</f>
        <v>0</v>
      </c>
      <c r="M32" s="29">
        <f>[1]Modeler!O32</f>
        <v>0</v>
      </c>
      <c r="N32" s="34">
        <f>[1]Modeler!P32</f>
        <v>0</v>
      </c>
      <c r="O32" s="32">
        <f>[1]Modeler!Q32</f>
        <v>0</v>
      </c>
      <c r="P32" s="29">
        <f>[1]Modeler!R32</f>
        <v>0</v>
      </c>
      <c r="Q32" s="34">
        <f>[1]Modeler!S32</f>
        <v>0</v>
      </c>
      <c r="R32" s="29">
        <f>[1]Modeler!T32</f>
        <v>0</v>
      </c>
      <c r="S32" s="29">
        <f>[1]Modeler!U32</f>
        <v>0</v>
      </c>
      <c r="T32" s="32">
        <f>[1]Modeler!V32</f>
        <v>0</v>
      </c>
      <c r="U32" s="29">
        <f>[1]Modeler!W32</f>
        <v>0</v>
      </c>
      <c r="V32" s="29">
        <f>[1]Modeler!X32</f>
        <v>0</v>
      </c>
      <c r="W32" s="32">
        <f>[1]Modeler!Y32</f>
        <v>0</v>
      </c>
      <c r="X32" s="29">
        <f>[1]Modeler!Z32</f>
        <v>0</v>
      </c>
      <c r="Y32" s="29">
        <f>[1]Modeler!AA32</f>
        <v>0</v>
      </c>
      <c r="Z32" s="32">
        <f>[1]Modeler!AB32</f>
        <v>0</v>
      </c>
      <c r="AA32" s="29">
        <f>[1]Modeler!AC32</f>
        <v>0</v>
      </c>
      <c r="AB32" s="29">
        <f>[1]Modeler!AD32</f>
        <v>0</v>
      </c>
      <c r="AC32" s="32">
        <f>[1]Modeler!AE32</f>
        <v>0</v>
      </c>
      <c r="AD32" s="29">
        <f>[1]Modeler!AF32</f>
        <v>0</v>
      </c>
      <c r="AE32" s="34">
        <f>[1]Modeler!AG32</f>
        <v>0</v>
      </c>
    </row>
    <row r="33" spans="1:31" x14ac:dyDescent="0.2">
      <c r="A33" s="29">
        <f>[1]Modeler!A33</f>
        <v>52</v>
      </c>
      <c r="B33" s="29">
        <f>[1]Modeler!B33</f>
        <v>0</v>
      </c>
      <c r="C33" s="29">
        <f>[1]Modeler!C33</f>
        <v>0</v>
      </c>
      <c r="D33" s="37">
        <f>[1]Modeler!D33</f>
        <v>0</v>
      </c>
      <c r="E33" s="29" t="str">
        <f>[1]Modeler!F33</f>
        <v/>
      </c>
      <c r="F33" s="29" t="str">
        <f>[1]Modeler!G33</f>
        <v/>
      </c>
      <c r="G33" s="32">
        <f>[1]Modeler!H33</f>
        <v>0</v>
      </c>
      <c r="H33" s="29">
        <f>[1]Modeler!J33</f>
        <v>0</v>
      </c>
      <c r="I33" s="29">
        <f>[1]Modeler!K33</f>
        <v>0</v>
      </c>
      <c r="J33" s="29">
        <f>[1]Modeler!L33</f>
        <v>0</v>
      </c>
      <c r="K33" s="29">
        <f>[1]Modeler!M33</f>
        <v>0</v>
      </c>
      <c r="L33" s="32">
        <f>[1]Modeler!N33</f>
        <v>0</v>
      </c>
      <c r="M33" s="29">
        <f>[1]Modeler!O33</f>
        <v>0</v>
      </c>
      <c r="N33" s="34">
        <f>[1]Modeler!P33</f>
        <v>0</v>
      </c>
      <c r="O33" s="32">
        <f>[1]Modeler!Q33</f>
        <v>0</v>
      </c>
      <c r="P33" s="29">
        <f>[1]Modeler!R33</f>
        <v>0</v>
      </c>
      <c r="Q33" s="34">
        <f>[1]Modeler!S33</f>
        <v>0</v>
      </c>
      <c r="R33" s="29">
        <f>[1]Modeler!T33</f>
        <v>0</v>
      </c>
      <c r="S33" s="29">
        <f>[1]Modeler!U33</f>
        <v>0</v>
      </c>
      <c r="T33" s="32">
        <f>[1]Modeler!V33</f>
        <v>0</v>
      </c>
      <c r="U33" s="29">
        <f>[1]Modeler!W33</f>
        <v>0</v>
      </c>
      <c r="V33" s="29">
        <f>[1]Modeler!X33</f>
        <v>0</v>
      </c>
      <c r="W33" s="32">
        <f>[1]Modeler!Y33</f>
        <v>0</v>
      </c>
      <c r="X33" s="29">
        <f>[1]Modeler!Z33</f>
        <v>0</v>
      </c>
      <c r="Y33" s="29">
        <f>[1]Modeler!AA33</f>
        <v>0</v>
      </c>
      <c r="Z33" s="32">
        <f>[1]Modeler!AB33</f>
        <v>0</v>
      </c>
      <c r="AA33" s="29">
        <f>[1]Modeler!AC33</f>
        <v>0</v>
      </c>
      <c r="AB33" s="29">
        <f>[1]Modeler!AD33</f>
        <v>0</v>
      </c>
      <c r="AC33" s="32">
        <f>[1]Modeler!AE33</f>
        <v>0</v>
      </c>
      <c r="AD33" s="29">
        <f>[1]Modeler!AF33</f>
        <v>0</v>
      </c>
      <c r="AE33" s="34">
        <f>[1]Modeler!AG33</f>
        <v>0</v>
      </c>
    </row>
    <row r="34" spans="1:31" x14ac:dyDescent="0.2">
      <c r="A34" s="29">
        <f>[1]Modeler!A34</f>
        <v>53</v>
      </c>
      <c r="B34" s="29">
        <f>[1]Modeler!B34</f>
        <v>0</v>
      </c>
      <c r="C34" s="29" t="str">
        <f>[1]Modeler!C34</f>
        <v>WATER OAK 1 P011CR</v>
      </c>
      <c r="D34" s="37">
        <f>[1]Modeler!D34</f>
        <v>44866</v>
      </c>
      <c r="E34" s="29">
        <f>[1]Modeler!F34</f>
        <v>485</v>
      </c>
      <c r="F34" s="29" t="str">
        <f>[1]Modeler!G34</f>
        <v/>
      </c>
      <c r="G34" s="32">
        <f>[1]Modeler!H34</f>
        <v>0</v>
      </c>
      <c r="H34" s="29">
        <f>[1]Modeler!J34</f>
        <v>0</v>
      </c>
      <c r="I34" s="29">
        <f>[1]Modeler!K34</f>
        <v>0</v>
      </c>
      <c r="J34" s="29">
        <f>[1]Modeler!L34</f>
        <v>0</v>
      </c>
      <c r="K34" s="29">
        <f>[1]Modeler!M34</f>
        <v>0</v>
      </c>
      <c r="L34" s="32">
        <f>[1]Modeler!N34</f>
        <v>0</v>
      </c>
      <c r="M34" s="29">
        <f>[1]Modeler!O34</f>
        <v>0</v>
      </c>
      <c r="N34" s="34">
        <f>[1]Modeler!P34</f>
        <v>0</v>
      </c>
      <c r="O34" s="32">
        <f>[1]Modeler!Q34</f>
        <v>0</v>
      </c>
      <c r="P34" s="29">
        <f>[1]Modeler!R34</f>
        <v>0</v>
      </c>
      <c r="Q34" s="34">
        <f>[1]Modeler!S34</f>
        <v>0</v>
      </c>
      <c r="R34" s="29">
        <f>[1]Modeler!T34</f>
        <v>0</v>
      </c>
      <c r="S34" s="29">
        <f>[1]Modeler!U34</f>
        <v>0</v>
      </c>
      <c r="T34" s="32">
        <f>[1]Modeler!V34</f>
        <v>0</v>
      </c>
      <c r="U34" s="29">
        <f>[1]Modeler!W34</f>
        <v>0</v>
      </c>
      <c r="V34" s="29">
        <f>[1]Modeler!X34</f>
        <v>0</v>
      </c>
      <c r="W34" s="32">
        <f>[1]Modeler!Y34</f>
        <v>0</v>
      </c>
      <c r="X34" s="29">
        <f>[1]Modeler!Z34</f>
        <v>0</v>
      </c>
      <c r="Y34" s="29">
        <f>[1]Modeler!AA34</f>
        <v>0</v>
      </c>
      <c r="Z34" s="32">
        <f>[1]Modeler!AB34</f>
        <v>0</v>
      </c>
      <c r="AA34" s="29">
        <f>[1]Modeler!AC34</f>
        <v>0</v>
      </c>
      <c r="AB34" s="29">
        <f>[1]Modeler!AD34</f>
        <v>0</v>
      </c>
      <c r="AC34" s="32">
        <f>[1]Modeler!AE34</f>
        <v>0</v>
      </c>
      <c r="AD34" s="29">
        <f>[1]Modeler!AF34</f>
        <v>0</v>
      </c>
      <c r="AE34" s="34">
        <f>[1]Modeler!AG34</f>
        <v>0</v>
      </c>
    </row>
    <row r="35" spans="1:31" x14ac:dyDescent="0.2">
      <c r="A35" s="29">
        <f>[1]Modeler!A35</f>
        <v>90</v>
      </c>
      <c r="B35" s="29">
        <f>[1]Modeler!B35</f>
        <v>0</v>
      </c>
      <c r="C35" s="29" t="str">
        <f>[1]Modeler!C35</f>
        <v>OCTG Order</v>
      </c>
      <c r="D35" s="37">
        <f>[1]Modeler!D35</f>
        <v>44915</v>
      </c>
      <c r="E35" s="29">
        <f>[1]Modeler!F35</f>
        <v>12</v>
      </c>
      <c r="F35" s="29" t="str">
        <f>[1]Modeler!G35</f>
        <v/>
      </c>
      <c r="G35" s="32">
        <f>[1]Modeler!H35</f>
        <v>0</v>
      </c>
      <c r="H35" s="29">
        <f>[1]Modeler!J35</f>
        <v>0</v>
      </c>
      <c r="I35" s="29">
        <f>[1]Modeler!K35</f>
        <v>0</v>
      </c>
      <c r="J35" s="29">
        <f>[1]Modeler!L35</f>
        <v>0</v>
      </c>
      <c r="K35" s="29">
        <f>[1]Modeler!M35</f>
        <v>0</v>
      </c>
      <c r="L35" s="32">
        <f>[1]Modeler!N35</f>
        <v>0</v>
      </c>
      <c r="M35" s="29">
        <f>[1]Modeler!O35</f>
        <v>0</v>
      </c>
      <c r="N35" s="34">
        <f>[1]Modeler!P35</f>
        <v>0</v>
      </c>
      <c r="O35" s="32">
        <f>[1]Modeler!Q35</f>
        <v>0</v>
      </c>
      <c r="P35" s="29">
        <f>[1]Modeler!R35</f>
        <v>0</v>
      </c>
      <c r="Q35" s="34">
        <f>[1]Modeler!S35</f>
        <v>0</v>
      </c>
      <c r="R35" s="29">
        <f>[1]Modeler!T35</f>
        <v>0</v>
      </c>
      <c r="S35" s="29">
        <f>[1]Modeler!U35</f>
        <v>0</v>
      </c>
      <c r="T35" s="32">
        <f>[1]Modeler!V35</f>
        <v>0</v>
      </c>
      <c r="U35" s="29">
        <f>[1]Modeler!W35</f>
        <v>0</v>
      </c>
      <c r="V35" s="29">
        <f>[1]Modeler!X35</f>
        <v>0</v>
      </c>
      <c r="W35" s="32">
        <f>[1]Modeler!Y35</f>
        <v>0</v>
      </c>
      <c r="X35" s="29">
        <f>[1]Modeler!Z35</f>
        <v>0</v>
      </c>
      <c r="Y35" s="29">
        <f>[1]Modeler!AA35</f>
        <v>0</v>
      </c>
      <c r="Z35" s="32">
        <f>[1]Modeler!AB35</f>
        <v>0</v>
      </c>
      <c r="AA35" s="29">
        <f>[1]Modeler!AC35</f>
        <v>0</v>
      </c>
      <c r="AB35" s="29">
        <f>[1]Modeler!AD35</f>
        <v>0</v>
      </c>
      <c r="AC35" s="32">
        <f>[1]Modeler!AE35</f>
        <v>0</v>
      </c>
      <c r="AD35" s="29">
        <f>[1]Modeler!AF35</f>
        <v>0</v>
      </c>
      <c r="AE35" s="34">
        <f>[1]Modeler!AG35</f>
        <v>0</v>
      </c>
    </row>
    <row r="36" spans="1:31" ht="11.25" customHeight="1" x14ac:dyDescent="0.2">
      <c r="A36" s="29">
        <f>[1]Modeler!A36</f>
        <v>91</v>
      </c>
      <c r="B36" s="29">
        <f>[1]Modeler!B36</f>
        <v>0</v>
      </c>
      <c r="C36" s="29" t="str">
        <f>[1]Modeler!C36</f>
        <v>Wellhead Order</v>
      </c>
      <c r="D36" s="37">
        <f>[1]Modeler!D36</f>
        <v>44915</v>
      </c>
      <c r="E36" s="29">
        <f>[1]Modeler!F36</f>
        <v>12</v>
      </c>
      <c r="F36" s="29" t="str">
        <f>[1]Modeler!G36</f>
        <v/>
      </c>
      <c r="G36" s="32">
        <f>[1]Modeler!H36</f>
        <v>0</v>
      </c>
      <c r="H36" s="29">
        <f>[1]Modeler!J36</f>
        <v>0</v>
      </c>
      <c r="I36" s="29">
        <f>[1]Modeler!K36</f>
        <v>0</v>
      </c>
      <c r="J36" s="29">
        <f>[1]Modeler!L36</f>
        <v>0</v>
      </c>
      <c r="K36" s="29">
        <f>[1]Modeler!M36</f>
        <v>0</v>
      </c>
      <c r="L36" s="32">
        <f>[1]Modeler!N36</f>
        <v>0</v>
      </c>
      <c r="M36" s="29">
        <f>[1]Modeler!O36</f>
        <v>0</v>
      </c>
      <c r="N36" s="34">
        <f>[1]Modeler!P36</f>
        <v>0</v>
      </c>
      <c r="O36" s="32">
        <f>[1]Modeler!Q36</f>
        <v>0</v>
      </c>
      <c r="P36" s="29">
        <f>[1]Modeler!R36</f>
        <v>0</v>
      </c>
      <c r="Q36" s="34">
        <f>[1]Modeler!S36</f>
        <v>0</v>
      </c>
      <c r="R36" s="29">
        <f>[1]Modeler!T36</f>
        <v>0</v>
      </c>
      <c r="S36" s="29">
        <f>[1]Modeler!U36</f>
        <v>0</v>
      </c>
      <c r="T36" s="32">
        <f>[1]Modeler!V36</f>
        <v>0</v>
      </c>
      <c r="U36" s="29">
        <f>[1]Modeler!W36</f>
        <v>0</v>
      </c>
      <c r="V36" s="29">
        <f>[1]Modeler!X36</f>
        <v>0</v>
      </c>
      <c r="W36" s="32">
        <f>[1]Modeler!Y36</f>
        <v>0</v>
      </c>
      <c r="X36" s="29">
        <f>[1]Modeler!Z36</f>
        <v>0</v>
      </c>
      <c r="Y36" s="29">
        <f>[1]Modeler!AA36</f>
        <v>0</v>
      </c>
      <c r="Z36" s="32">
        <f>[1]Modeler!AB36</f>
        <v>0</v>
      </c>
      <c r="AA36" s="29">
        <f>[1]Modeler!AC36</f>
        <v>0</v>
      </c>
      <c r="AB36" s="29">
        <f>[1]Modeler!AD36</f>
        <v>0</v>
      </c>
      <c r="AC36" s="32">
        <f>[1]Modeler!AE36</f>
        <v>0</v>
      </c>
      <c r="AD36" s="29">
        <f>[1]Modeler!AF36</f>
        <v>0</v>
      </c>
      <c r="AE36" s="34">
        <f>[1]Modeler!AG36</f>
        <v>0</v>
      </c>
    </row>
    <row r="37" spans="1:31" x14ac:dyDescent="0.2">
      <c r="A37" s="29">
        <f>[1]Modeler!A37</f>
        <v>92</v>
      </c>
      <c r="B37" s="29">
        <f>[1]Modeler!B37</f>
        <v>0</v>
      </c>
      <c r="C37" s="29" t="str">
        <f>[1]Modeler!C37</f>
        <v>Land Work, SUA &amp; Damages</v>
      </c>
      <c r="D37" s="37">
        <f>[1]Modeler!D37</f>
        <v>44866</v>
      </c>
      <c r="E37" s="29">
        <f>[1]Modeler!F37</f>
        <v>61</v>
      </c>
      <c r="F37" s="29">
        <f>[1]Modeler!G37</f>
        <v>14</v>
      </c>
      <c r="G37" s="32">
        <f>[1]Modeler!H37</f>
        <v>44941</v>
      </c>
      <c r="H37" s="29">
        <f>[1]Modeler!J37</f>
        <v>106</v>
      </c>
      <c r="I37" s="29">
        <f>[1]Modeler!K37</f>
        <v>0</v>
      </c>
      <c r="J37" s="29">
        <f>[1]Modeler!L37</f>
        <v>0</v>
      </c>
      <c r="K37" s="29">
        <f>[1]Modeler!M37</f>
        <v>0</v>
      </c>
      <c r="L37" s="32">
        <f>[1]Modeler!N37</f>
        <v>0</v>
      </c>
      <c r="M37" s="29">
        <f>[1]Modeler!O37</f>
        <v>0</v>
      </c>
      <c r="N37" s="34">
        <f>[1]Modeler!P37</f>
        <v>0</v>
      </c>
      <c r="O37" s="32">
        <f>[1]Modeler!Q37</f>
        <v>0</v>
      </c>
      <c r="P37" s="29">
        <f>[1]Modeler!R37</f>
        <v>0</v>
      </c>
      <c r="Q37" s="34">
        <f>[1]Modeler!S37</f>
        <v>0</v>
      </c>
      <c r="R37" s="29">
        <f>[1]Modeler!T37</f>
        <v>0</v>
      </c>
      <c r="S37" s="29">
        <f>[1]Modeler!U37</f>
        <v>0</v>
      </c>
      <c r="T37" s="32">
        <f>[1]Modeler!V37</f>
        <v>0</v>
      </c>
      <c r="U37" s="29">
        <f>[1]Modeler!W37</f>
        <v>0</v>
      </c>
      <c r="V37" s="29">
        <f>[1]Modeler!X37</f>
        <v>0</v>
      </c>
      <c r="W37" s="32">
        <f>[1]Modeler!Y37</f>
        <v>0</v>
      </c>
      <c r="X37" s="29">
        <f>[1]Modeler!Z37</f>
        <v>0</v>
      </c>
      <c r="Y37" s="29">
        <f>[1]Modeler!AA37</f>
        <v>0</v>
      </c>
      <c r="Z37" s="32">
        <f>[1]Modeler!AB37</f>
        <v>0</v>
      </c>
      <c r="AA37" s="29">
        <f>[1]Modeler!AC37</f>
        <v>0</v>
      </c>
      <c r="AB37" s="29">
        <f>[1]Modeler!AD37</f>
        <v>0</v>
      </c>
      <c r="AC37" s="32">
        <f>[1]Modeler!AE37</f>
        <v>0</v>
      </c>
      <c r="AD37" s="29">
        <f>[1]Modeler!AF37</f>
        <v>0</v>
      </c>
      <c r="AE37" s="34">
        <f>[1]Modeler!AG37</f>
        <v>0</v>
      </c>
    </row>
    <row r="38" spans="1:31" x14ac:dyDescent="0.2">
      <c r="A38" s="29">
        <f>[1]Modeler!A38</f>
        <v>93</v>
      </c>
      <c r="B38" s="29">
        <f>[1]Modeler!B38</f>
        <v>0</v>
      </c>
      <c r="C38" s="29" t="str">
        <f>[1]Modeler!C38</f>
        <v>Environmental &amp; Permitting</v>
      </c>
      <c r="D38" s="37">
        <f>[1]Modeler!D38</f>
        <v>44907</v>
      </c>
      <c r="E38" s="29">
        <f>[1]Modeler!F38</f>
        <v>14</v>
      </c>
      <c r="F38" s="29">
        <f>[1]Modeler!G38</f>
        <v>14</v>
      </c>
      <c r="G38" s="32">
        <f>[1]Modeler!H38</f>
        <v>44935</v>
      </c>
      <c r="H38" s="29">
        <f>[1]Modeler!J38</f>
        <v>60</v>
      </c>
      <c r="I38" s="29">
        <f>[1]Modeler!K38</f>
        <v>0</v>
      </c>
      <c r="J38" s="29">
        <f>[1]Modeler!L38</f>
        <v>0</v>
      </c>
      <c r="K38" s="29">
        <f>[1]Modeler!M38</f>
        <v>0</v>
      </c>
      <c r="L38" s="32">
        <f>[1]Modeler!N38</f>
        <v>0</v>
      </c>
      <c r="M38" s="29">
        <f>[1]Modeler!O38</f>
        <v>0</v>
      </c>
      <c r="N38" s="34">
        <f>[1]Modeler!P38</f>
        <v>0</v>
      </c>
      <c r="O38" s="32">
        <f>[1]Modeler!Q38</f>
        <v>0</v>
      </c>
      <c r="P38" s="29">
        <f>[1]Modeler!R38</f>
        <v>0</v>
      </c>
      <c r="Q38" s="34">
        <f>[1]Modeler!S38</f>
        <v>0</v>
      </c>
      <c r="R38" s="29">
        <f>[1]Modeler!T38</f>
        <v>0</v>
      </c>
      <c r="S38" s="29">
        <f>[1]Modeler!U38</f>
        <v>0</v>
      </c>
      <c r="T38" s="32">
        <f>[1]Modeler!V38</f>
        <v>0</v>
      </c>
      <c r="U38" s="29">
        <f>[1]Modeler!W38</f>
        <v>0</v>
      </c>
      <c r="V38" s="29">
        <f>[1]Modeler!X38</f>
        <v>0</v>
      </c>
      <c r="W38" s="32">
        <f>[1]Modeler!Y38</f>
        <v>0</v>
      </c>
      <c r="X38" s="29">
        <f>[1]Modeler!Z38</f>
        <v>0</v>
      </c>
      <c r="Y38" s="29">
        <f>[1]Modeler!AA38</f>
        <v>0</v>
      </c>
      <c r="Z38" s="32">
        <f>[1]Modeler!AB38</f>
        <v>0</v>
      </c>
      <c r="AA38" s="29">
        <f>[1]Modeler!AC38</f>
        <v>0</v>
      </c>
      <c r="AB38" s="29">
        <f>[1]Modeler!AD38</f>
        <v>0</v>
      </c>
      <c r="AC38" s="32">
        <f>[1]Modeler!AE38</f>
        <v>0</v>
      </c>
      <c r="AD38" s="29">
        <f>[1]Modeler!AF38</f>
        <v>0</v>
      </c>
      <c r="AE38" s="34">
        <f>[1]Modeler!AG38</f>
        <v>0</v>
      </c>
    </row>
    <row r="39" spans="1:31" x14ac:dyDescent="0.2">
      <c r="A39" s="29">
        <f>[1]Modeler!A39</f>
        <v>32</v>
      </c>
      <c r="B39" s="29">
        <f>[1]Modeler!B39</f>
        <v>0</v>
      </c>
      <c r="C39" s="29" t="str">
        <f>[1]Modeler!C39</f>
        <v>Pad Construction &amp; Conductor</v>
      </c>
      <c r="D39" s="37">
        <f>[1]Modeler!D39</f>
        <v>44986</v>
      </c>
      <c r="E39" s="29">
        <f>[1]Modeler!F39</f>
        <v>31</v>
      </c>
      <c r="F39" s="29" t="str">
        <f>[1]Modeler!G39</f>
        <v/>
      </c>
      <c r="G39" s="32">
        <f>[1]Modeler!H39</f>
        <v>0</v>
      </c>
      <c r="H39" s="29">
        <f>[1]Modeler!J39</f>
        <v>0</v>
      </c>
      <c r="I39" s="29">
        <f>[1]Modeler!K39</f>
        <v>0</v>
      </c>
      <c r="J39" s="29">
        <f>[1]Modeler!L39</f>
        <v>0</v>
      </c>
      <c r="K39" s="29">
        <f>[1]Modeler!M39</f>
        <v>0</v>
      </c>
      <c r="L39" s="32">
        <f>[1]Modeler!N39</f>
        <v>0</v>
      </c>
      <c r="M39" s="29">
        <f>[1]Modeler!O39</f>
        <v>0</v>
      </c>
      <c r="N39" s="34">
        <f>[1]Modeler!P39</f>
        <v>0</v>
      </c>
      <c r="O39" s="32">
        <f>[1]Modeler!Q39</f>
        <v>0</v>
      </c>
      <c r="P39" s="29">
        <f>[1]Modeler!R39</f>
        <v>0</v>
      </c>
      <c r="Q39" s="34">
        <f>[1]Modeler!S39</f>
        <v>0</v>
      </c>
      <c r="R39" s="29">
        <f>[1]Modeler!T39</f>
        <v>0</v>
      </c>
      <c r="S39" s="29">
        <f>[1]Modeler!U39</f>
        <v>0</v>
      </c>
      <c r="T39" s="32">
        <f>[1]Modeler!V39</f>
        <v>0</v>
      </c>
      <c r="U39" s="29">
        <f>[1]Modeler!W39</f>
        <v>0</v>
      </c>
      <c r="V39" s="29">
        <f>[1]Modeler!X39</f>
        <v>0</v>
      </c>
      <c r="W39" s="32">
        <f>[1]Modeler!Y39</f>
        <v>0</v>
      </c>
      <c r="X39" s="29">
        <f>[1]Modeler!Z39</f>
        <v>0</v>
      </c>
      <c r="Y39" s="29">
        <f>[1]Modeler!AA39</f>
        <v>0</v>
      </c>
      <c r="Z39" s="32">
        <f>[1]Modeler!AB39</f>
        <v>0</v>
      </c>
      <c r="AA39" s="29">
        <f>[1]Modeler!AC39</f>
        <v>0</v>
      </c>
      <c r="AB39" s="29">
        <f>[1]Modeler!AD39</f>
        <v>0</v>
      </c>
      <c r="AC39" s="32">
        <f>[1]Modeler!AE39</f>
        <v>0</v>
      </c>
      <c r="AD39" s="29">
        <f>[1]Modeler!AF39</f>
        <v>0</v>
      </c>
      <c r="AE39" s="34">
        <f>[1]Modeler!AG39</f>
        <v>0</v>
      </c>
    </row>
    <row r="40" spans="1:31" x14ac:dyDescent="0.2">
      <c r="A40" s="29">
        <f>[1]Modeler!A40</f>
        <v>100</v>
      </c>
      <c r="B40" s="29">
        <f>[1]Modeler!B40</f>
        <v>0</v>
      </c>
      <c r="C40" s="29" t="str">
        <f>[1]Modeler!C40</f>
        <v>Final Drill Plan and DWOP</v>
      </c>
      <c r="D40" s="37">
        <f>[1]Modeler!D40</f>
        <v>44986</v>
      </c>
      <c r="E40" s="29">
        <f>[1]Modeler!F40</f>
        <v>56</v>
      </c>
      <c r="F40" s="29" t="str">
        <f>[1]Modeler!G40</f>
        <v/>
      </c>
      <c r="G40" s="32">
        <f>[1]Modeler!H40</f>
        <v>0</v>
      </c>
      <c r="H40" s="29">
        <f>[1]Modeler!J40</f>
        <v>0</v>
      </c>
      <c r="I40" s="29">
        <f>[1]Modeler!K40</f>
        <v>0</v>
      </c>
      <c r="J40" s="29">
        <f>[1]Modeler!L40</f>
        <v>0</v>
      </c>
      <c r="K40" s="29">
        <f>[1]Modeler!M40</f>
        <v>0</v>
      </c>
      <c r="L40" s="32">
        <f>[1]Modeler!N40</f>
        <v>0</v>
      </c>
      <c r="M40" s="29">
        <f>[1]Modeler!O40</f>
        <v>0</v>
      </c>
      <c r="N40" s="34">
        <f>[1]Modeler!P40</f>
        <v>0</v>
      </c>
      <c r="O40" s="32">
        <f>[1]Modeler!Q40</f>
        <v>0</v>
      </c>
      <c r="P40" s="29">
        <f>[1]Modeler!R40</f>
        <v>0</v>
      </c>
      <c r="Q40" s="34">
        <f>[1]Modeler!S40</f>
        <v>0</v>
      </c>
      <c r="R40" s="29">
        <f>[1]Modeler!T40</f>
        <v>0</v>
      </c>
      <c r="S40" s="29">
        <f>[1]Modeler!U40</f>
        <v>0</v>
      </c>
      <c r="T40" s="32">
        <f>[1]Modeler!V40</f>
        <v>0</v>
      </c>
      <c r="U40" s="29">
        <f>[1]Modeler!W40</f>
        <v>0</v>
      </c>
      <c r="V40" s="29">
        <f>[1]Modeler!X40</f>
        <v>0</v>
      </c>
      <c r="W40" s="32">
        <f>[1]Modeler!Y40</f>
        <v>0</v>
      </c>
      <c r="X40" s="29">
        <f>[1]Modeler!Z40</f>
        <v>0</v>
      </c>
      <c r="Y40" s="29">
        <f>[1]Modeler!AA40</f>
        <v>0</v>
      </c>
      <c r="Z40" s="32">
        <f>[1]Modeler!AB40</f>
        <v>0</v>
      </c>
      <c r="AA40" s="29">
        <f>[1]Modeler!AC40</f>
        <v>0</v>
      </c>
      <c r="AB40" s="29">
        <f>[1]Modeler!AD40</f>
        <v>0</v>
      </c>
      <c r="AC40" s="32">
        <f>[1]Modeler!AE40</f>
        <v>0</v>
      </c>
      <c r="AD40" s="29">
        <f>[1]Modeler!AF40</f>
        <v>0</v>
      </c>
      <c r="AE40" s="34">
        <f>[1]Modeler!AG40</f>
        <v>0</v>
      </c>
    </row>
    <row r="41" spans="1:31" x14ac:dyDescent="0.2">
      <c r="A41" s="29">
        <f>[1]Modeler!A41</f>
        <v>101</v>
      </c>
      <c r="B41" s="29">
        <f>[1]Modeler!B41</f>
        <v>0</v>
      </c>
      <c r="C41" s="29" t="str">
        <f>[1]Modeler!C41</f>
        <v>Drill to core point</v>
      </c>
      <c r="D41" s="37">
        <f>[1]Modeler!D41</f>
        <v>45078</v>
      </c>
      <c r="E41" s="29">
        <f>[1]Modeler!F41</f>
        <v>30</v>
      </c>
      <c r="F41" s="29" t="str">
        <f>[1]Modeler!G41</f>
        <v/>
      </c>
      <c r="G41" s="32">
        <f>[1]Modeler!H41</f>
        <v>0</v>
      </c>
      <c r="H41" s="29">
        <f>[1]Modeler!J41</f>
        <v>0</v>
      </c>
      <c r="I41" s="29">
        <f>[1]Modeler!K41</f>
        <v>0</v>
      </c>
      <c r="J41" s="29">
        <f>[1]Modeler!L41</f>
        <v>0</v>
      </c>
      <c r="K41" s="29">
        <f>[1]Modeler!M41</f>
        <v>0</v>
      </c>
      <c r="L41" s="32">
        <f>[1]Modeler!N41</f>
        <v>0</v>
      </c>
      <c r="M41" s="29">
        <f>[1]Modeler!O41</f>
        <v>0</v>
      </c>
      <c r="N41" s="34">
        <f>[1]Modeler!P41</f>
        <v>0</v>
      </c>
      <c r="O41" s="32">
        <f>[1]Modeler!Q41</f>
        <v>0</v>
      </c>
      <c r="P41" s="29">
        <f>[1]Modeler!R41</f>
        <v>0</v>
      </c>
      <c r="Q41" s="34">
        <f>[1]Modeler!S41</f>
        <v>0</v>
      </c>
      <c r="R41" s="29">
        <f>[1]Modeler!T41</f>
        <v>0</v>
      </c>
      <c r="S41" s="29">
        <f>[1]Modeler!U41</f>
        <v>0</v>
      </c>
      <c r="T41" s="32">
        <f>[1]Modeler!V41</f>
        <v>0</v>
      </c>
      <c r="U41" s="29">
        <f>[1]Modeler!W41</f>
        <v>0</v>
      </c>
      <c r="V41" s="29">
        <f>[1]Modeler!X41</f>
        <v>0</v>
      </c>
      <c r="W41" s="32">
        <f>[1]Modeler!Y41</f>
        <v>0</v>
      </c>
      <c r="X41" s="29">
        <f>[1]Modeler!Z41</f>
        <v>0</v>
      </c>
      <c r="Y41" s="29">
        <f>[1]Modeler!AA41</f>
        <v>0</v>
      </c>
      <c r="Z41" s="32">
        <f>[1]Modeler!AB41</f>
        <v>0</v>
      </c>
      <c r="AA41" s="29">
        <f>[1]Modeler!AC41</f>
        <v>0</v>
      </c>
      <c r="AB41" s="29">
        <f>[1]Modeler!AD41</f>
        <v>0</v>
      </c>
      <c r="AC41" s="32">
        <f>[1]Modeler!AE41</f>
        <v>0</v>
      </c>
      <c r="AD41" s="29">
        <f>[1]Modeler!AF41</f>
        <v>0</v>
      </c>
      <c r="AE41" s="34">
        <f>[1]Modeler!AG41</f>
        <v>0</v>
      </c>
    </row>
    <row r="42" spans="1:31" x14ac:dyDescent="0.2">
      <c r="A42" s="29">
        <f>[1]Modeler!A42</f>
        <v>102</v>
      </c>
      <c r="B42" s="29">
        <f>[1]Modeler!B42</f>
        <v>0</v>
      </c>
      <c r="C42" s="29" t="str">
        <f>[1]Modeler!C42</f>
        <v>Core, Log &amp; Run Pipe</v>
      </c>
      <c r="D42" s="37">
        <f>[1]Modeler!D42</f>
        <v>45108</v>
      </c>
      <c r="E42" s="29">
        <f>[1]Modeler!F42</f>
        <v>15</v>
      </c>
      <c r="F42" s="29" t="str">
        <f>[1]Modeler!G42</f>
        <v/>
      </c>
      <c r="G42" s="32">
        <f>[1]Modeler!H42</f>
        <v>0</v>
      </c>
      <c r="H42" s="29">
        <f>[1]Modeler!J42</f>
        <v>0</v>
      </c>
      <c r="I42" s="29">
        <f>[1]Modeler!K42</f>
        <v>0</v>
      </c>
      <c r="J42" s="29">
        <f>[1]Modeler!L42</f>
        <v>0</v>
      </c>
      <c r="K42" s="29">
        <f>[1]Modeler!M42</f>
        <v>0</v>
      </c>
      <c r="L42" s="32">
        <f>[1]Modeler!N42</f>
        <v>0</v>
      </c>
      <c r="M42" s="29">
        <f>[1]Modeler!O42</f>
        <v>0</v>
      </c>
      <c r="N42" s="34">
        <f>[1]Modeler!P42</f>
        <v>0</v>
      </c>
      <c r="O42" s="32">
        <f>[1]Modeler!Q42</f>
        <v>0</v>
      </c>
      <c r="P42" s="29">
        <f>[1]Modeler!R42</f>
        <v>0</v>
      </c>
      <c r="Q42" s="34">
        <f>[1]Modeler!S42</f>
        <v>0</v>
      </c>
      <c r="R42" s="29">
        <f>[1]Modeler!T42</f>
        <v>0</v>
      </c>
      <c r="S42" s="29">
        <f>[1]Modeler!U42</f>
        <v>0</v>
      </c>
      <c r="T42" s="32">
        <f>[1]Modeler!V42</f>
        <v>0</v>
      </c>
      <c r="U42" s="29">
        <f>[1]Modeler!W42</f>
        <v>0</v>
      </c>
      <c r="V42" s="29">
        <f>[1]Modeler!X42</f>
        <v>0</v>
      </c>
      <c r="W42" s="32">
        <f>[1]Modeler!Y42</f>
        <v>0</v>
      </c>
      <c r="X42" s="29">
        <f>[1]Modeler!Z42</f>
        <v>0</v>
      </c>
      <c r="Y42" s="29">
        <f>[1]Modeler!AA42</f>
        <v>0</v>
      </c>
      <c r="Z42" s="32">
        <f>[1]Modeler!AB42</f>
        <v>0</v>
      </c>
      <c r="AA42" s="29">
        <f>[1]Modeler!AC42</f>
        <v>0</v>
      </c>
      <c r="AB42" s="29">
        <f>[1]Modeler!AD42</f>
        <v>0</v>
      </c>
      <c r="AC42" s="32">
        <f>[1]Modeler!AE42</f>
        <v>0</v>
      </c>
      <c r="AD42" s="29">
        <f>[1]Modeler!AF42</f>
        <v>0</v>
      </c>
      <c r="AE42" s="34">
        <f>[1]Modeler!AG42</f>
        <v>0</v>
      </c>
    </row>
    <row r="43" spans="1:31" x14ac:dyDescent="0.2">
      <c r="A43" s="29">
        <f>[1]Modeler!A43</f>
        <v>0</v>
      </c>
      <c r="B43" s="29">
        <f>[1]Modeler!B43</f>
        <v>0</v>
      </c>
      <c r="C43" s="29" t="str">
        <f>[1]Modeler!C43</f>
        <v>Wait on data processing for log &amp; core</v>
      </c>
      <c r="D43" s="37">
        <f>[1]Modeler!D43</f>
        <v>45110</v>
      </c>
      <c r="E43" s="29">
        <f>[1]Modeler!F43</f>
        <v>0</v>
      </c>
      <c r="F43" s="29">
        <f>[1]Modeler!G43</f>
        <v>45</v>
      </c>
      <c r="G43" s="32">
        <f>[1]Modeler!H43</f>
        <v>0</v>
      </c>
      <c r="H43" s="29">
        <f>[1]Modeler!J43</f>
        <v>0</v>
      </c>
      <c r="I43" s="29">
        <f>[1]Modeler!K43</f>
        <v>0</v>
      </c>
      <c r="J43" s="29">
        <f>[1]Modeler!L43</f>
        <v>0</v>
      </c>
      <c r="K43" s="29">
        <f>[1]Modeler!M43</f>
        <v>0</v>
      </c>
      <c r="L43" s="32">
        <f>[1]Modeler!N43</f>
        <v>0</v>
      </c>
      <c r="M43" s="29">
        <f>[1]Modeler!O43</f>
        <v>0</v>
      </c>
      <c r="N43" s="34">
        <f>[1]Modeler!P43</f>
        <v>0</v>
      </c>
      <c r="O43" s="32">
        <f>[1]Modeler!Q43</f>
        <v>0</v>
      </c>
      <c r="P43" s="29">
        <f>[1]Modeler!R43</f>
        <v>0</v>
      </c>
      <c r="Q43" s="34">
        <f>[1]Modeler!S43</f>
        <v>0</v>
      </c>
      <c r="R43" s="29">
        <f>[1]Modeler!T43</f>
        <v>0</v>
      </c>
      <c r="S43" s="29">
        <f>[1]Modeler!U43</f>
        <v>0</v>
      </c>
      <c r="T43" s="32">
        <f>[1]Modeler!V43</f>
        <v>0</v>
      </c>
      <c r="U43" s="29">
        <f>[1]Modeler!W43</f>
        <v>0</v>
      </c>
      <c r="V43" s="29">
        <f>[1]Modeler!X43</f>
        <v>0</v>
      </c>
      <c r="W43" s="32">
        <f>[1]Modeler!Y43</f>
        <v>0</v>
      </c>
      <c r="X43" s="29">
        <f>[1]Modeler!Z43</f>
        <v>0</v>
      </c>
      <c r="Y43" s="29">
        <f>[1]Modeler!AA43</f>
        <v>0</v>
      </c>
      <c r="Z43" s="32">
        <f>[1]Modeler!AB43</f>
        <v>0</v>
      </c>
      <c r="AA43" s="29">
        <f>[1]Modeler!AC43</f>
        <v>0</v>
      </c>
      <c r="AB43" s="29">
        <f>[1]Modeler!AD43</f>
        <v>0</v>
      </c>
      <c r="AC43" s="32">
        <f>[1]Modeler!AE43</f>
        <v>0</v>
      </c>
      <c r="AD43" s="29">
        <f>[1]Modeler!AF43</f>
        <v>0</v>
      </c>
      <c r="AE43" s="34">
        <f>[1]Modeler!AG43</f>
        <v>0</v>
      </c>
    </row>
    <row r="44" spans="1:31" x14ac:dyDescent="0.2">
      <c r="A44" s="29">
        <f>[1]Modeler!A44</f>
        <v>0</v>
      </c>
      <c r="B44" s="29">
        <f>[1]Modeler!B44</f>
        <v>0</v>
      </c>
      <c r="C44" s="29" t="str">
        <f>[1]Modeler!C44</f>
        <v>Completion Planning &amp; CWOP</v>
      </c>
      <c r="D44" s="37">
        <f>[1]Modeler!D44</f>
        <v>45156</v>
      </c>
      <c r="E44" s="29">
        <f>[1]Modeler!F44</f>
        <v>7</v>
      </c>
      <c r="F44" s="29" t="str">
        <f>[1]Modeler!G44</f>
        <v/>
      </c>
      <c r="G44" s="32">
        <f>[1]Modeler!H44</f>
        <v>0</v>
      </c>
      <c r="H44" s="29">
        <f>[1]Modeler!J44</f>
        <v>0</v>
      </c>
      <c r="I44" s="29">
        <f>[1]Modeler!K44</f>
        <v>0</v>
      </c>
      <c r="J44" s="29">
        <f>[1]Modeler!L44</f>
        <v>0</v>
      </c>
      <c r="K44" s="29">
        <f>[1]Modeler!M44</f>
        <v>0</v>
      </c>
      <c r="L44" s="32">
        <f>[1]Modeler!N44</f>
        <v>0</v>
      </c>
      <c r="M44" s="29">
        <f>[1]Modeler!O44</f>
        <v>0</v>
      </c>
      <c r="N44" s="34">
        <f>[1]Modeler!P44</f>
        <v>0</v>
      </c>
      <c r="O44" s="32">
        <f>[1]Modeler!Q44</f>
        <v>0</v>
      </c>
      <c r="P44" s="29">
        <f>[1]Modeler!R44</f>
        <v>0</v>
      </c>
      <c r="Q44" s="34">
        <f>[1]Modeler!S44</f>
        <v>0</v>
      </c>
      <c r="R44" s="29">
        <f>[1]Modeler!T44</f>
        <v>0</v>
      </c>
      <c r="S44" s="29">
        <f>[1]Modeler!U44</f>
        <v>0</v>
      </c>
      <c r="T44" s="32">
        <f>[1]Modeler!V44</f>
        <v>0</v>
      </c>
      <c r="U44" s="29">
        <f>[1]Modeler!W44</f>
        <v>0</v>
      </c>
      <c r="V44" s="29">
        <f>[1]Modeler!X44</f>
        <v>0</v>
      </c>
      <c r="W44" s="32">
        <f>[1]Modeler!Y44</f>
        <v>0</v>
      </c>
      <c r="X44" s="29">
        <f>[1]Modeler!Z44</f>
        <v>0</v>
      </c>
      <c r="Y44" s="29">
        <f>[1]Modeler!AA44</f>
        <v>0</v>
      </c>
      <c r="Z44" s="32">
        <f>[1]Modeler!AB44</f>
        <v>0</v>
      </c>
      <c r="AA44" s="29">
        <f>[1]Modeler!AC44</f>
        <v>0</v>
      </c>
      <c r="AB44" s="29">
        <f>[1]Modeler!AD44</f>
        <v>0</v>
      </c>
      <c r="AC44" s="32">
        <f>[1]Modeler!AE44</f>
        <v>0</v>
      </c>
      <c r="AD44" s="29">
        <f>[1]Modeler!AF44</f>
        <v>0</v>
      </c>
      <c r="AE44" s="34">
        <f>[1]Modeler!AG44</f>
        <v>0</v>
      </c>
    </row>
    <row r="45" spans="1:31" x14ac:dyDescent="0.2">
      <c r="A45" s="29">
        <f>[1]Modeler!A45</f>
        <v>0</v>
      </c>
      <c r="B45" s="29">
        <f>[1]Modeler!B45</f>
        <v>0</v>
      </c>
      <c r="C45" s="29" t="str">
        <f>[1]Modeler!C45</f>
        <v>Completion Operations</v>
      </c>
      <c r="D45" s="37">
        <f>[1]Modeler!D45</f>
        <v>45166</v>
      </c>
      <c r="E45" s="29">
        <f>[1]Modeler!F45</f>
        <v>5</v>
      </c>
      <c r="F45" s="29" t="str">
        <f>[1]Modeler!G45</f>
        <v/>
      </c>
      <c r="G45" s="32">
        <f>[1]Modeler!H45</f>
        <v>0</v>
      </c>
      <c r="H45" s="29">
        <f>[1]Modeler!J45</f>
        <v>0</v>
      </c>
      <c r="I45" s="29">
        <f>[1]Modeler!K45</f>
        <v>0</v>
      </c>
      <c r="J45" s="29">
        <f>[1]Modeler!L45</f>
        <v>0</v>
      </c>
      <c r="K45" s="29">
        <f>[1]Modeler!M45</f>
        <v>0</v>
      </c>
      <c r="L45" s="32">
        <f>[1]Modeler!N45</f>
        <v>0</v>
      </c>
      <c r="M45" s="29">
        <f>[1]Modeler!O45</f>
        <v>0</v>
      </c>
      <c r="N45" s="34">
        <f>[1]Modeler!P45</f>
        <v>0</v>
      </c>
      <c r="O45" s="32">
        <f>[1]Modeler!Q45</f>
        <v>0</v>
      </c>
      <c r="P45" s="29">
        <f>[1]Modeler!R45</f>
        <v>0</v>
      </c>
      <c r="Q45" s="34">
        <f>[1]Modeler!S45</f>
        <v>0</v>
      </c>
      <c r="R45" s="29">
        <f>[1]Modeler!T45</f>
        <v>0</v>
      </c>
      <c r="S45" s="29">
        <f>[1]Modeler!U45</f>
        <v>0</v>
      </c>
      <c r="T45" s="32">
        <f>[1]Modeler!V45</f>
        <v>0</v>
      </c>
      <c r="U45" s="29">
        <f>[1]Modeler!W45</f>
        <v>0</v>
      </c>
      <c r="V45" s="29">
        <f>[1]Modeler!X45</f>
        <v>0</v>
      </c>
      <c r="W45" s="32">
        <f>[1]Modeler!Y45</f>
        <v>0</v>
      </c>
      <c r="X45" s="29">
        <f>[1]Modeler!Z45</f>
        <v>0</v>
      </c>
      <c r="Y45" s="29">
        <f>[1]Modeler!AA45</f>
        <v>0</v>
      </c>
      <c r="Z45" s="32">
        <f>[1]Modeler!AB45</f>
        <v>0</v>
      </c>
      <c r="AA45" s="29">
        <f>[1]Modeler!AC45</f>
        <v>0</v>
      </c>
      <c r="AB45" s="29">
        <f>[1]Modeler!AD45</f>
        <v>0</v>
      </c>
      <c r="AC45" s="32">
        <f>[1]Modeler!AE45</f>
        <v>0</v>
      </c>
      <c r="AD45" s="29">
        <f>[1]Modeler!AF45</f>
        <v>0</v>
      </c>
      <c r="AE45" s="34">
        <f>[1]Modeler!AG45</f>
        <v>0</v>
      </c>
    </row>
    <row r="46" spans="1:31" s="5" customFormat="1" x14ac:dyDescent="0.2">
      <c r="A46" s="29">
        <f>[1]Modeler!A46</f>
        <v>0</v>
      </c>
      <c r="B46" s="29">
        <f>[1]Modeler!B46</f>
        <v>0</v>
      </c>
      <c r="C46" s="29" t="str">
        <f>[1]Modeler!C46</f>
        <v>Perforate and DFIT's (5 intervals)</v>
      </c>
      <c r="D46" s="37">
        <f>[1]Modeler!D46</f>
        <v>45171</v>
      </c>
      <c r="E46" s="29">
        <f>[1]Modeler!F46</f>
        <v>10</v>
      </c>
      <c r="F46" s="29" t="str">
        <f>[1]Modeler!G46</f>
        <v/>
      </c>
      <c r="G46" s="32">
        <f>[1]Modeler!H46</f>
        <v>0</v>
      </c>
      <c r="H46" s="29">
        <f>[1]Modeler!J46</f>
        <v>0</v>
      </c>
      <c r="I46" s="29">
        <f>[1]Modeler!K46</f>
        <v>0</v>
      </c>
      <c r="J46" s="29">
        <f>[1]Modeler!L46</f>
        <v>0</v>
      </c>
      <c r="K46" s="29">
        <f>[1]Modeler!M46</f>
        <v>0</v>
      </c>
      <c r="L46" s="32">
        <f>[1]Modeler!N46</f>
        <v>0</v>
      </c>
      <c r="M46" s="29">
        <f>[1]Modeler!O46</f>
        <v>0</v>
      </c>
      <c r="N46" s="34">
        <f>[1]Modeler!P46</f>
        <v>0</v>
      </c>
      <c r="O46" s="32">
        <f>[1]Modeler!Q46</f>
        <v>0</v>
      </c>
      <c r="P46" s="29">
        <f>[1]Modeler!R46</f>
        <v>0</v>
      </c>
      <c r="Q46" s="34">
        <f>[1]Modeler!S46</f>
        <v>0</v>
      </c>
      <c r="R46" s="29">
        <f>[1]Modeler!T46</f>
        <v>0</v>
      </c>
      <c r="S46" s="29">
        <f>[1]Modeler!U46</f>
        <v>0</v>
      </c>
      <c r="T46" s="32">
        <f>[1]Modeler!V46</f>
        <v>0</v>
      </c>
      <c r="U46" s="29">
        <f>[1]Modeler!W46</f>
        <v>0</v>
      </c>
      <c r="V46" s="29">
        <f>[1]Modeler!X46</f>
        <v>0</v>
      </c>
      <c r="W46" s="32">
        <f>[1]Modeler!Y46</f>
        <v>0</v>
      </c>
      <c r="X46" s="29">
        <f>[1]Modeler!Z46</f>
        <v>0</v>
      </c>
      <c r="Y46" s="29">
        <f>[1]Modeler!AA46</f>
        <v>0</v>
      </c>
      <c r="Z46" s="32">
        <f>[1]Modeler!AB46</f>
        <v>0</v>
      </c>
      <c r="AA46" s="29">
        <f>[1]Modeler!AC46</f>
        <v>0</v>
      </c>
      <c r="AB46" s="29">
        <f>[1]Modeler!AD46</f>
        <v>0</v>
      </c>
      <c r="AC46" s="32">
        <f>[1]Modeler!AE46</f>
        <v>0</v>
      </c>
      <c r="AD46" s="29">
        <f>[1]Modeler!AF46</f>
        <v>0</v>
      </c>
      <c r="AE46" s="34">
        <f>[1]Modeler!AG46</f>
        <v>0</v>
      </c>
    </row>
    <row r="47" spans="1:31" x14ac:dyDescent="0.2">
      <c r="A47" s="29">
        <f>[1]Modeler!A47</f>
        <v>0</v>
      </c>
      <c r="B47" s="29">
        <f>[1]Modeler!B47</f>
        <v>0</v>
      </c>
      <c r="C47" s="29" t="str">
        <f>[1]Modeler!C47</f>
        <v>Set Packer &amp; Tube Up</v>
      </c>
      <c r="D47" s="37">
        <f>[1]Modeler!D47</f>
        <v>45181</v>
      </c>
      <c r="E47" s="29">
        <f>[1]Modeler!F47</f>
        <v>4</v>
      </c>
      <c r="F47" s="29" t="str">
        <f>[1]Modeler!G47</f>
        <v/>
      </c>
      <c r="G47" s="32">
        <f>[1]Modeler!H47</f>
        <v>0</v>
      </c>
      <c r="H47" s="29">
        <f>[1]Modeler!J47</f>
        <v>0</v>
      </c>
      <c r="I47" s="29">
        <f>[1]Modeler!K47</f>
        <v>0</v>
      </c>
      <c r="J47" s="29">
        <f>[1]Modeler!L47</f>
        <v>0</v>
      </c>
      <c r="K47" s="29">
        <f>[1]Modeler!M47</f>
        <v>0</v>
      </c>
      <c r="L47" s="32">
        <f>[1]Modeler!N47</f>
        <v>0</v>
      </c>
      <c r="M47" s="29">
        <f>[1]Modeler!O47</f>
        <v>0</v>
      </c>
      <c r="N47" s="34">
        <f>[1]Modeler!P47</f>
        <v>0</v>
      </c>
      <c r="O47" s="32">
        <f>[1]Modeler!Q47</f>
        <v>0</v>
      </c>
      <c r="P47" s="29">
        <f>[1]Modeler!R47</f>
        <v>0</v>
      </c>
      <c r="Q47" s="34">
        <f>[1]Modeler!S47</f>
        <v>0</v>
      </c>
      <c r="R47" s="29">
        <f>[1]Modeler!T47</f>
        <v>0</v>
      </c>
      <c r="S47" s="29">
        <f>[1]Modeler!U47</f>
        <v>0</v>
      </c>
      <c r="T47" s="32">
        <f>[1]Modeler!V47</f>
        <v>0</v>
      </c>
      <c r="U47" s="29">
        <f>[1]Modeler!W47</f>
        <v>0</v>
      </c>
      <c r="V47" s="29">
        <f>[1]Modeler!X47</f>
        <v>0</v>
      </c>
      <c r="W47" s="32">
        <f>[1]Modeler!Y47</f>
        <v>0</v>
      </c>
      <c r="X47" s="29">
        <f>[1]Modeler!Z47</f>
        <v>0</v>
      </c>
      <c r="Y47" s="29">
        <f>[1]Modeler!AA47</f>
        <v>0</v>
      </c>
      <c r="Z47" s="32">
        <f>[1]Modeler!AB47</f>
        <v>0</v>
      </c>
      <c r="AA47" s="29">
        <f>[1]Modeler!AC47</f>
        <v>0</v>
      </c>
      <c r="AB47" s="29">
        <f>[1]Modeler!AD47</f>
        <v>0</v>
      </c>
      <c r="AC47" s="32">
        <f>[1]Modeler!AE47</f>
        <v>0</v>
      </c>
      <c r="AD47" s="29">
        <f>[1]Modeler!AF47</f>
        <v>0</v>
      </c>
      <c r="AE47" s="34">
        <f>[1]Modeler!AG47</f>
        <v>0</v>
      </c>
    </row>
    <row r="48" spans="1:31" x14ac:dyDescent="0.2">
      <c r="A48" s="29">
        <f>[1]Modeler!A48</f>
        <v>0</v>
      </c>
      <c r="B48" s="29">
        <f>[1]Modeler!B48</f>
        <v>0</v>
      </c>
      <c r="C48" s="29" t="str">
        <f>[1]Modeler!C48</f>
        <v>Flow Test</v>
      </c>
      <c r="D48" s="37">
        <f>[1]Modeler!D48</f>
        <v>45293</v>
      </c>
      <c r="E48" s="29">
        <f>[1]Modeler!F48</f>
        <v>30</v>
      </c>
      <c r="F48" s="29" t="str">
        <f>[1]Modeler!G48</f>
        <v/>
      </c>
      <c r="G48" s="32">
        <f>[1]Modeler!H48</f>
        <v>0</v>
      </c>
      <c r="H48" s="29">
        <f>[1]Modeler!J48</f>
        <v>0</v>
      </c>
      <c r="I48" s="29">
        <f>[1]Modeler!K48</f>
        <v>0</v>
      </c>
      <c r="J48" s="29">
        <f>[1]Modeler!L48</f>
        <v>0</v>
      </c>
      <c r="K48" s="29">
        <f>[1]Modeler!M48</f>
        <v>0</v>
      </c>
      <c r="L48" s="32">
        <f>[1]Modeler!N48</f>
        <v>0</v>
      </c>
      <c r="M48" s="29">
        <f>[1]Modeler!O48</f>
        <v>0</v>
      </c>
      <c r="N48" s="34">
        <f>[1]Modeler!P48</f>
        <v>0</v>
      </c>
      <c r="O48" s="32">
        <f>[1]Modeler!Q48</f>
        <v>0</v>
      </c>
      <c r="P48" s="29">
        <f>[1]Modeler!R48</f>
        <v>0</v>
      </c>
      <c r="Q48" s="34">
        <f>[1]Modeler!S48</f>
        <v>0</v>
      </c>
      <c r="R48" s="29">
        <f>[1]Modeler!T48</f>
        <v>0</v>
      </c>
      <c r="S48" s="29">
        <f>[1]Modeler!U48</f>
        <v>0</v>
      </c>
      <c r="T48" s="32">
        <f>[1]Modeler!V48</f>
        <v>0</v>
      </c>
      <c r="U48" s="29">
        <f>[1]Modeler!W48</f>
        <v>0</v>
      </c>
      <c r="V48" s="29">
        <f>[1]Modeler!X48</f>
        <v>0</v>
      </c>
      <c r="W48" s="32">
        <f>[1]Modeler!Y48</f>
        <v>0</v>
      </c>
      <c r="X48" s="29">
        <f>[1]Modeler!Z48</f>
        <v>0</v>
      </c>
      <c r="Y48" s="29">
        <f>[1]Modeler!AA48</f>
        <v>0</v>
      </c>
      <c r="Z48" s="32">
        <f>[1]Modeler!AB48</f>
        <v>0</v>
      </c>
      <c r="AA48" s="29">
        <f>[1]Modeler!AC48</f>
        <v>0</v>
      </c>
      <c r="AB48" s="29">
        <f>[1]Modeler!AD48</f>
        <v>0</v>
      </c>
      <c r="AC48" s="32">
        <f>[1]Modeler!AE48</f>
        <v>0</v>
      </c>
      <c r="AD48" s="29">
        <f>[1]Modeler!AF48</f>
        <v>0</v>
      </c>
      <c r="AE48" s="34">
        <f>[1]Modeler!AG48</f>
        <v>0</v>
      </c>
    </row>
    <row r="49" spans="1:31" x14ac:dyDescent="0.2">
      <c r="A49" s="29">
        <f>[1]Modeler!A49</f>
        <v>0</v>
      </c>
      <c r="B49" s="29">
        <f>[1]Modeler!B49</f>
        <v>0</v>
      </c>
      <c r="C49" s="29" t="str">
        <f>[1]Modeler!C49</f>
        <v>PDD &amp; PBU</v>
      </c>
      <c r="D49" s="37">
        <f>[1]Modeler!D49</f>
        <v>45323</v>
      </c>
      <c r="E49" s="29">
        <f>[1]Modeler!F49</f>
        <v>21</v>
      </c>
      <c r="F49" s="29" t="str">
        <f>[1]Modeler!G49</f>
        <v/>
      </c>
      <c r="G49" s="32">
        <f>[1]Modeler!H49</f>
        <v>0</v>
      </c>
      <c r="H49" s="29">
        <f>[1]Modeler!J49</f>
        <v>0</v>
      </c>
      <c r="I49" s="29">
        <f>[1]Modeler!K49</f>
        <v>0</v>
      </c>
      <c r="J49" s="29">
        <f>[1]Modeler!L49</f>
        <v>0</v>
      </c>
      <c r="K49" s="29">
        <f>[1]Modeler!M49</f>
        <v>0</v>
      </c>
      <c r="L49" s="32">
        <f>[1]Modeler!N49</f>
        <v>0</v>
      </c>
      <c r="M49" s="29">
        <f>[1]Modeler!O49</f>
        <v>0</v>
      </c>
      <c r="N49" s="34">
        <f>[1]Modeler!P49</f>
        <v>0</v>
      </c>
      <c r="O49" s="32">
        <f>[1]Modeler!Q49</f>
        <v>0</v>
      </c>
      <c r="P49" s="29">
        <f>[1]Modeler!R49</f>
        <v>0</v>
      </c>
      <c r="Q49" s="34">
        <f>[1]Modeler!S49</f>
        <v>0</v>
      </c>
      <c r="R49" s="29">
        <f>[1]Modeler!T49</f>
        <v>0</v>
      </c>
      <c r="S49" s="29">
        <f>[1]Modeler!U49</f>
        <v>0</v>
      </c>
      <c r="T49" s="32">
        <f>[1]Modeler!V49</f>
        <v>0</v>
      </c>
      <c r="U49" s="29">
        <f>[1]Modeler!W49</f>
        <v>0</v>
      </c>
      <c r="V49" s="29">
        <f>[1]Modeler!X49</f>
        <v>0</v>
      </c>
      <c r="W49" s="32">
        <f>[1]Modeler!Y49</f>
        <v>0</v>
      </c>
      <c r="X49" s="29">
        <f>[1]Modeler!Z49</f>
        <v>0</v>
      </c>
      <c r="Y49" s="29">
        <f>[1]Modeler!AA49</f>
        <v>0</v>
      </c>
      <c r="Z49" s="32">
        <f>[1]Modeler!AB49</f>
        <v>0</v>
      </c>
      <c r="AA49" s="29">
        <f>[1]Modeler!AC49</f>
        <v>0</v>
      </c>
      <c r="AB49" s="29">
        <f>[1]Modeler!AD49</f>
        <v>0</v>
      </c>
      <c r="AC49" s="32">
        <f>[1]Modeler!AE49</f>
        <v>0</v>
      </c>
      <c r="AD49" s="29">
        <f>[1]Modeler!AF49</f>
        <v>0</v>
      </c>
      <c r="AE49" s="34">
        <f>[1]Modeler!AG49</f>
        <v>0</v>
      </c>
    </row>
    <row r="50" spans="1:31" x14ac:dyDescent="0.2">
      <c r="A50" s="29">
        <f>[1]Modeler!A50</f>
        <v>0</v>
      </c>
      <c r="B50" s="29">
        <f>[1]Modeler!B50</f>
        <v>0</v>
      </c>
      <c r="C50" s="29" t="str">
        <f>[1]Modeler!C50</f>
        <v>Turn in Line</v>
      </c>
      <c r="D50" s="37">
        <f>[1]Modeler!D50</f>
        <v>45344</v>
      </c>
      <c r="E50" s="29">
        <f>[1]Modeler!F50</f>
        <v>7</v>
      </c>
      <c r="F50" s="29" t="str">
        <f>[1]Modeler!G50</f>
        <v/>
      </c>
      <c r="G50" s="32">
        <f>[1]Modeler!H50</f>
        <v>0</v>
      </c>
      <c r="H50" s="29">
        <f>[1]Modeler!J50</f>
        <v>0</v>
      </c>
      <c r="I50" s="29">
        <f>[1]Modeler!K50</f>
        <v>0</v>
      </c>
      <c r="J50" s="29">
        <f>[1]Modeler!L50</f>
        <v>0</v>
      </c>
      <c r="K50" s="29">
        <f>[1]Modeler!M50</f>
        <v>0</v>
      </c>
      <c r="L50" s="32">
        <f>[1]Modeler!N50</f>
        <v>0</v>
      </c>
      <c r="M50" s="29">
        <f>[1]Modeler!O50</f>
        <v>0</v>
      </c>
      <c r="N50" s="34">
        <f>[1]Modeler!P50</f>
        <v>0</v>
      </c>
      <c r="O50" s="32">
        <f>[1]Modeler!Q50</f>
        <v>0</v>
      </c>
      <c r="P50" s="29">
        <f>[1]Modeler!R50</f>
        <v>0</v>
      </c>
      <c r="Q50" s="34">
        <f>[1]Modeler!S50</f>
        <v>0</v>
      </c>
      <c r="R50" s="29">
        <f>[1]Modeler!T50</f>
        <v>0</v>
      </c>
      <c r="S50" s="29">
        <f>[1]Modeler!U50</f>
        <v>0</v>
      </c>
      <c r="T50" s="32">
        <f>[1]Modeler!V50</f>
        <v>0</v>
      </c>
      <c r="U50" s="29">
        <f>[1]Modeler!W50</f>
        <v>0</v>
      </c>
      <c r="V50" s="29">
        <f>[1]Modeler!X50</f>
        <v>0</v>
      </c>
      <c r="W50" s="32">
        <f>[1]Modeler!Y50</f>
        <v>0</v>
      </c>
      <c r="X50" s="29">
        <f>[1]Modeler!Z50</f>
        <v>0</v>
      </c>
      <c r="Y50" s="29">
        <f>[1]Modeler!AA50</f>
        <v>0</v>
      </c>
      <c r="Z50" s="32">
        <f>[1]Modeler!AB50</f>
        <v>0</v>
      </c>
      <c r="AA50" s="29">
        <f>[1]Modeler!AC50</f>
        <v>0</v>
      </c>
      <c r="AB50" s="29">
        <f>[1]Modeler!AD50</f>
        <v>0</v>
      </c>
      <c r="AC50" s="32">
        <f>[1]Modeler!AE50</f>
        <v>0</v>
      </c>
      <c r="AD50" s="29">
        <f>[1]Modeler!AF50</f>
        <v>0</v>
      </c>
      <c r="AE50" s="34">
        <f>[1]Modeler!AG50</f>
        <v>0</v>
      </c>
    </row>
    <row r="51" spans="1:31" x14ac:dyDescent="0.2">
      <c r="A51" s="29">
        <f>[1]Modeler!A51</f>
        <v>0</v>
      </c>
      <c r="B51" s="29">
        <f>[1]Modeler!B51</f>
        <v>0</v>
      </c>
      <c r="C51" s="29">
        <f>[1]Modeler!C51</f>
        <v>0</v>
      </c>
      <c r="D51" s="37">
        <f>[1]Modeler!D51</f>
        <v>0</v>
      </c>
      <c r="E51" s="29">
        <f>[1]Modeler!F51</f>
        <v>0</v>
      </c>
      <c r="F51" s="29" t="str">
        <f>[1]Modeler!G51</f>
        <v/>
      </c>
      <c r="G51" s="32">
        <f>[1]Modeler!H51</f>
        <v>0</v>
      </c>
      <c r="H51" s="29">
        <f>[1]Modeler!J51</f>
        <v>0</v>
      </c>
      <c r="I51" s="29">
        <f>[1]Modeler!K51</f>
        <v>0</v>
      </c>
      <c r="J51" s="29">
        <f>[1]Modeler!L51</f>
        <v>0</v>
      </c>
      <c r="K51" s="29" t="str">
        <f>[1]Modeler!M51</f>
        <v/>
      </c>
      <c r="L51" s="32">
        <f>[1]Modeler!N51</f>
        <v>0</v>
      </c>
      <c r="M51" s="29">
        <f>[1]Modeler!O51</f>
        <v>0</v>
      </c>
      <c r="N51" s="34">
        <f>[1]Modeler!P51</f>
        <v>0</v>
      </c>
      <c r="O51" s="32">
        <f>[1]Modeler!Q51</f>
        <v>0</v>
      </c>
      <c r="P51" s="29">
        <f>[1]Modeler!R51</f>
        <v>0</v>
      </c>
      <c r="Q51" s="34">
        <f>[1]Modeler!S51</f>
        <v>0</v>
      </c>
      <c r="R51" s="29">
        <f>[1]Modeler!T51</f>
        <v>0</v>
      </c>
      <c r="S51" s="29">
        <f>[1]Modeler!U51</f>
        <v>0</v>
      </c>
      <c r="T51" s="32">
        <f>[1]Modeler!V51</f>
        <v>0</v>
      </c>
      <c r="U51" s="29">
        <f>[1]Modeler!W51</f>
        <v>0</v>
      </c>
      <c r="V51" s="29">
        <f>[1]Modeler!X51</f>
        <v>0</v>
      </c>
      <c r="W51" s="32">
        <f>[1]Modeler!Y51</f>
        <v>0</v>
      </c>
      <c r="X51" s="29">
        <f>[1]Modeler!Z51</f>
        <v>0</v>
      </c>
      <c r="Y51" s="29">
        <f>[1]Modeler!AA51</f>
        <v>0</v>
      </c>
      <c r="Z51" s="32">
        <f>[1]Modeler!AB51</f>
        <v>0</v>
      </c>
      <c r="AA51" s="29">
        <f>[1]Modeler!AC51</f>
        <v>0</v>
      </c>
      <c r="AB51" s="29">
        <f>[1]Modeler!AD51</f>
        <v>0</v>
      </c>
      <c r="AC51" s="32">
        <f>[1]Modeler!AE51</f>
        <v>0</v>
      </c>
      <c r="AD51" s="29">
        <f>[1]Modeler!AF51</f>
        <v>0</v>
      </c>
      <c r="AE51" s="34">
        <f>[1]Modeler!AG51</f>
        <v>0</v>
      </c>
    </row>
    <row r="52" spans="1:31" x14ac:dyDescent="0.2">
      <c r="A52" s="29">
        <f>[1]Modeler!A52</f>
        <v>0</v>
      </c>
      <c r="B52" s="29">
        <f>[1]Modeler!B52</f>
        <v>0</v>
      </c>
      <c r="C52" s="29" t="str">
        <f>[1]Modeler!C52</f>
        <v>WATER OAK 1 D021</v>
      </c>
      <c r="D52" s="37">
        <f>[1]Modeler!D52</f>
        <v>44896</v>
      </c>
      <c r="E52" s="29">
        <f>[1]Modeler!F52</f>
        <v>434</v>
      </c>
      <c r="F52" s="29" t="str">
        <f>[1]Modeler!G52</f>
        <v/>
      </c>
      <c r="G52" s="32">
        <f>[1]Modeler!H52</f>
        <v>0</v>
      </c>
      <c r="H52" s="29">
        <f>[1]Modeler!J52</f>
        <v>0</v>
      </c>
      <c r="I52" s="29">
        <f>[1]Modeler!K52</f>
        <v>0</v>
      </c>
      <c r="J52" s="29">
        <f>[1]Modeler!L52</f>
        <v>0</v>
      </c>
      <c r="K52" s="29" t="str">
        <f>[1]Modeler!M52</f>
        <v/>
      </c>
      <c r="L52" s="32">
        <f>[1]Modeler!N52</f>
        <v>0</v>
      </c>
      <c r="M52" s="29">
        <f>[1]Modeler!O52</f>
        <v>0</v>
      </c>
      <c r="N52" s="34">
        <f>[1]Modeler!P52</f>
        <v>0</v>
      </c>
      <c r="O52" s="32">
        <f>[1]Modeler!Q52</f>
        <v>0</v>
      </c>
      <c r="P52" s="29">
        <f>[1]Modeler!R52</f>
        <v>0</v>
      </c>
      <c r="Q52" s="34">
        <f>[1]Modeler!S52</f>
        <v>0</v>
      </c>
      <c r="R52" s="29">
        <f>[1]Modeler!T52</f>
        <v>0</v>
      </c>
      <c r="S52" s="29">
        <f>[1]Modeler!U52</f>
        <v>0</v>
      </c>
      <c r="T52" s="32">
        <f>[1]Modeler!V52</f>
        <v>0</v>
      </c>
      <c r="U52" s="29">
        <f>[1]Modeler!W52</f>
        <v>0</v>
      </c>
      <c r="V52" s="29">
        <f>[1]Modeler!X52</f>
        <v>0</v>
      </c>
      <c r="W52" s="32">
        <f>[1]Modeler!Y52</f>
        <v>0</v>
      </c>
      <c r="X52" s="29">
        <f>[1]Modeler!Z52</f>
        <v>0</v>
      </c>
      <c r="Y52" s="29">
        <f>[1]Modeler!AA52</f>
        <v>0</v>
      </c>
      <c r="Z52" s="32">
        <f>[1]Modeler!AB52</f>
        <v>0</v>
      </c>
      <c r="AA52" s="29">
        <f>[1]Modeler!AC52</f>
        <v>0</v>
      </c>
      <c r="AB52" s="29">
        <f>[1]Modeler!AD52</f>
        <v>0</v>
      </c>
      <c r="AC52" s="32">
        <f>[1]Modeler!AE52</f>
        <v>0</v>
      </c>
      <c r="AD52" s="29">
        <f>[1]Modeler!AF52</f>
        <v>0</v>
      </c>
      <c r="AE52" s="34">
        <f>[1]Modeler!AG52</f>
        <v>0</v>
      </c>
    </row>
    <row r="53" spans="1:31" x14ac:dyDescent="0.2">
      <c r="A53" s="29">
        <f>[1]Modeler!A53</f>
        <v>0</v>
      </c>
      <c r="B53" s="29">
        <f>[1]Modeler!B53</f>
        <v>0</v>
      </c>
      <c r="C53" s="29" t="str">
        <f>[1]Modeler!C53</f>
        <v>OCTG Order</v>
      </c>
      <c r="D53" s="37">
        <f>[1]Modeler!D53</f>
        <v>44896</v>
      </c>
      <c r="E53" s="29">
        <f>[1]Modeler!F53</f>
        <v>22</v>
      </c>
      <c r="F53" s="29" t="str">
        <f>[1]Modeler!G53</f>
        <v/>
      </c>
      <c r="G53" s="32">
        <f>[1]Modeler!H53</f>
        <v>0</v>
      </c>
      <c r="H53" s="29">
        <f>[1]Modeler!J53</f>
        <v>0</v>
      </c>
      <c r="I53" s="29">
        <f>[1]Modeler!K53</f>
        <v>0</v>
      </c>
      <c r="J53" s="29">
        <f>[1]Modeler!L53</f>
        <v>0</v>
      </c>
      <c r="K53" s="29" t="str">
        <f>[1]Modeler!M53</f>
        <v/>
      </c>
      <c r="L53" s="32">
        <f>[1]Modeler!N53</f>
        <v>0</v>
      </c>
      <c r="M53" s="29">
        <f>[1]Modeler!O53</f>
        <v>0</v>
      </c>
      <c r="N53" s="34">
        <f>[1]Modeler!P53</f>
        <v>0</v>
      </c>
      <c r="O53" s="32">
        <f>[1]Modeler!Q53</f>
        <v>0</v>
      </c>
      <c r="P53" s="29">
        <f>[1]Modeler!R53</f>
        <v>0</v>
      </c>
      <c r="Q53" s="34">
        <f>[1]Modeler!S53</f>
        <v>0</v>
      </c>
      <c r="R53" s="29">
        <f>[1]Modeler!T53</f>
        <v>0</v>
      </c>
      <c r="S53" s="29">
        <f>[1]Modeler!U53</f>
        <v>0</v>
      </c>
      <c r="T53" s="32">
        <f>[1]Modeler!V53</f>
        <v>0</v>
      </c>
      <c r="U53" s="29">
        <f>[1]Modeler!W53</f>
        <v>0</v>
      </c>
      <c r="V53" s="29">
        <f>[1]Modeler!X53</f>
        <v>0</v>
      </c>
      <c r="W53" s="32">
        <f>[1]Modeler!Y53</f>
        <v>0</v>
      </c>
      <c r="X53" s="29">
        <f>[1]Modeler!Z53</f>
        <v>0</v>
      </c>
      <c r="Y53" s="29">
        <f>[1]Modeler!AA53</f>
        <v>0</v>
      </c>
      <c r="Z53" s="32">
        <f>[1]Modeler!AB53</f>
        <v>0</v>
      </c>
      <c r="AA53" s="29">
        <f>[1]Modeler!AC53</f>
        <v>0</v>
      </c>
      <c r="AB53" s="29">
        <f>[1]Modeler!AD53</f>
        <v>0</v>
      </c>
      <c r="AC53" s="32">
        <f>[1]Modeler!AE53</f>
        <v>0</v>
      </c>
      <c r="AD53" s="29">
        <f>[1]Modeler!AF53</f>
        <v>0</v>
      </c>
      <c r="AE53" s="34">
        <f>[1]Modeler!AG53</f>
        <v>0</v>
      </c>
    </row>
    <row r="54" spans="1:31" x14ac:dyDescent="0.2">
      <c r="A54" s="29">
        <f>[1]Modeler!A54</f>
        <v>0</v>
      </c>
      <c r="B54" s="29">
        <f>[1]Modeler!B54</f>
        <v>0</v>
      </c>
      <c r="C54" s="29" t="str">
        <f>[1]Modeler!C54</f>
        <v>Wellhead Order</v>
      </c>
      <c r="D54" s="37">
        <f>[1]Modeler!D54</f>
        <v>44900</v>
      </c>
      <c r="E54" s="29">
        <f>[1]Modeler!F54</f>
        <v>18</v>
      </c>
      <c r="F54" s="29">
        <f>[1]Modeler!G54</f>
        <v>0</v>
      </c>
      <c r="G54" s="32">
        <f>[1]Modeler!H54</f>
        <v>0</v>
      </c>
      <c r="H54" s="29">
        <f>[1]Modeler!J54</f>
        <v>0</v>
      </c>
      <c r="I54" s="29">
        <f>[1]Modeler!K54</f>
        <v>0</v>
      </c>
      <c r="J54" s="29">
        <f>[1]Modeler!L54</f>
        <v>0</v>
      </c>
      <c r="K54" s="29" t="str">
        <f>[1]Modeler!M54</f>
        <v/>
      </c>
      <c r="L54" s="32">
        <f>[1]Modeler!N54</f>
        <v>0</v>
      </c>
      <c r="M54" s="29">
        <f>[1]Modeler!O54</f>
        <v>0</v>
      </c>
      <c r="N54" s="34">
        <f>[1]Modeler!P54</f>
        <v>0</v>
      </c>
      <c r="O54" s="32">
        <f>[1]Modeler!Q54</f>
        <v>0</v>
      </c>
      <c r="P54" s="29">
        <f>[1]Modeler!R54</f>
        <v>0</v>
      </c>
      <c r="Q54" s="34">
        <f>[1]Modeler!S54</f>
        <v>0</v>
      </c>
      <c r="R54" s="29">
        <f>[1]Modeler!T54</f>
        <v>0</v>
      </c>
      <c r="S54" s="29">
        <f>[1]Modeler!U54</f>
        <v>0</v>
      </c>
      <c r="T54" s="32">
        <f>[1]Modeler!V54</f>
        <v>0</v>
      </c>
      <c r="U54" s="29">
        <f>[1]Modeler!W54</f>
        <v>0</v>
      </c>
      <c r="V54" s="29">
        <f>[1]Modeler!X54</f>
        <v>0</v>
      </c>
      <c r="W54" s="32">
        <f>[1]Modeler!Y54</f>
        <v>0</v>
      </c>
      <c r="X54" s="29">
        <f>[1]Modeler!Z54</f>
        <v>0</v>
      </c>
      <c r="Y54" s="29">
        <f>[1]Modeler!AA54</f>
        <v>0</v>
      </c>
      <c r="Z54" s="32">
        <f>[1]Modeler!AB54</f>
        <v>0</v>
      </c>
      <c r="AA54" s="29">
        <f>[1]Modeler!AC54</f>
        <v>0</v>
      </c>
      <c r="AB54" s="29">
        <f>[1]Modeler!AD54</f>
        <v>0</v>
      </c>
      <c r="AC54" s="32">
        <f>[1]Modeler!AE54</f>
        <v>0</v>
      </c>
      <c r="AD54" s="29">
        <f>[1]Modeler!AF54</f>
        <v>0</v>
      </c>
      <c r="AE54" s="34">
        <f>[1]Modeler!AG54</f>
        <v>0</v>
      </c>
    </row>
    <row r="55" spans="1:31" x14ac:dyDescent="0.2">
      <c r="A55" s="29">
        <f>[1]Modeler!A55</f>
        <v>0</v>
      </c>
      <c r="B55" s="29">
        <f>[1]Modeler!B55</f>
        <v>0</v>
      </c>
      <c r="C55" s="29" t="str">
        <f>[1]Modeler!C55</f>
        <v>Land Work, SUA &amp; Damages</v>
      </c>
      <c r="D55" s="37">
        <f>[1]Modeler!D55</f>
        <v>44942</v>
      </c>
      <c r="E55" s="29">
        <f>[1]Modeler!F55</f>
        <v>44</v>
      </c>
      <c r="F55" s="29" t="str">
        <f>[1]Modeler!G55</f>
        <v/>
      </c>
      <c r="G55" s="32">
        <f>[1]Modeler!H55</f>
        <v>0</v>
      </c>
      <c r="H55" s="29">
        <f>[1]Modeler!J55</f>
        <v>0</v>
      </c>
      <c r="I55" s="29">
        <f>[1]Modeler!K55</f>
        <v>0</v>
      </c>
      <c r="J55" s="29">
        <f>[1]Modeler!L55</f>
        <v>0</v>
      </c>
      <c r="K55" s="29" t="str">
        <f>[1]Modeler!M55</f>
        <v/>
      </c>
      <c r="L55" s="32">
        <f>[1]Modeler!N55</f>
        <v>0</v>
      </c>
      <c r="M55" s="29">
        <f>[1]Modeler!O55</f>
        <v>0</v>
      </c>
      <c r="N55" s="34">
        <f>[1]Modeler!P55</f>
        <v>0</v>
      </c>
      <c r="O55" s="32">
        <f>[1]Modeler!Q55</f>
        <v>0</v>
      </c>
      <c r="P55" s="29">
        <f>[1]Modeler!R55</f>
        <v>0</v>
      </c>
      <c r="Q55" s="34">
        <f>[1]Modeler!S55</f>
        <v>0</v>
      </c>
      <c r="R55" s="29">
        <f>[1]Modeler!T55</f>
        <v>0</v>
      </c>
      <c r="S55" s="29">
        <f>[1]Modeler!U55</f>
        <v>0</v>
      </c>
      <c r="T55" s="32">
        <f>[1]Modeler!V55</f>
        <v>0</v>
      </c>
      <c r="U55" s="29">
        <f>[1]Modeler!W55</f>
        <v>0</v>
      </c>
      <c r="V55" s="29">
        <f>[1]Modeler!X55</f>
        <v>0</v>
      </c>
      <c r="W55" s="32">
        <f>[1]Modeler!Y55</f>
        <v>0</v>
      </c>
      <c r="X55" s="29">
        <f>[1]Modeler!Z55</f>
        <v>0</v>
      </c>
      <c r="Y55" s="29">
        <f>[1]Modeler!AA55</f>
        <v>0</v>
      </c>
      <c r="Z55" s="32">
        <f>[1]Modeler!AB55</f>
        <v>0</v>
      </c>
      <c r="AA55" s="29">
        <f>[1]Modeler!AC55</f>
        <v>0</v>
      </c>
      <c r="AB55" s="29">
        <f>[1]Modeler!AD55</f>
        <v>0</v>
      </c>
      <c r="AC55" s="32">
        <f>[1]Modeler!AE55</f>
        <v>0</v>
      </c>
      <c r="AD55" s="29">
        <f>[1]Modeler!AF55</f>
        <v>0</v>
      </c>
      <c r="AE55" s="34">
        <f>[1]Modeler!AG55</f>
        <v>0</v>
      </c>
    </row>
    <row r="56" spans="1:31" x14ac:dyDescent="0.2">
      <c r="A56" s="29">
        <f>[1]Modeler!A56</f>
        <v>0</v>
      </c>
      <c r="B56" s="29">
        <f>[1]Modeler!B56</f>
        <v>0</v>
      </c>
      <c r="C56" s="29" t="str">
        <f>[1]Modeler!C56</f>
        <v>Permitting &amp; Follow-up notifications</v>
      </c>
      <c r="D56" s="37">
        <f>[1]Modeler!D56</f>
        <v>44900</v>
      </c>
      <c r="E56" s="29">
        <f>[1]Modeler!F56</f>
        <v>18</v>
      </c>
      <c r="F56" s="29">
        <f>[1]Modeler!G56</f>
        <v>180</v>
      </c>
      <c r="G56" s="32">
        <f>[1]Modeler!H56</f>
        <v>0</v>
      </c>
      <c r="H56" s="29">
        <f>[1]Modeler!J56</f>
        <v>0</v>
      </c>
      <c r="I56" s="29">
        <f>[1]Modeler!K56</f>
        <v>0</v>
      </c>
      <c r="J56" s="29">
        <f>[1]Modeler!L56</f>
        <v>0</v>
      </c>
      <c r="K56" s="29" t="str">
        <f>[1]Modeler!M56</f>
        <v/>
      </c>
      <c r="L56" s="32">
        <f>[1]Modeler!N56</f>
        <v>0</v>
      </c>
      <c r="M56" s="29">
        <f>[1]Modeler!O56</f>
        <v>0</v>
      </c>
      <c r="N56" s="34">
        <f>[1]Modeler!P56</f>
        <v>0</v>
      </c>
      <c r="O56" s="32">
        <f>[1]Modeler!Q56</f>
        <v>0</v>
      </c>
      <c r="P56" s="29">
        <f>[1]Modeler!R56</f>
        <v>0</v>
      </c>
      <c r="Q56" s="34">
        <f>[1]Modeler!S56</f>
        <v>0</v>
      </c>
      <c r="R56" s="29">
        <f>[1]Modeler!T56</f>
        <v>0</v>
      </c>
      <c r="S56" s="29">
        <f>[1]Modeler!U56</f>
        <v>0</v>
      </c>
      <c r="T56" s="32">
        <f>[1]Modeler!V56</f>
        <v>0</v>
      </c>
      <c r="U56" s="29">
        <f>[1]Modeler!W56</f>
        <v>0</v>
      </c>
      <c r="V56" s="29">
        <f>[1]Modeler!X56</f>
        <v>0</v>
      </c>
      <c r="W56" s="32">
        <f>[1]Modeler!Y56</f>
        <v>0</v>
      </c>
      <c r="X56" s="29">
        <f>[1]Modeler!Z56</f>
        <v>0</v>
      </c>
      <c r="Y56" s="29">
        <f>[1]Modeler!AA56</f>
        <v>0</v>
      </c>
      <c r="Z56" s="32">
        <f>[1]Modeler!AB56</f>
        <v>0</v>
      </c>
      <c r="AA56" s="29">
        <f>[1]Modeler!AC56</f>
        <v>0</v>
      </c>
      <c r="AB56" s="29">
        <f>[1]Modeler!AD56</f>
        <v>0</v>
      </c>
      <c r="AC56" s="32">
        <f>[1]Modeler!AE56</f>
        <v>0</v>
      </c>
      <c r="AD56" s="29">
        <f>[1]Modeler!AF56</f>
        <v>0</v>
      </c>
      <c r="AE56" s="34">
        <f>[1]Modeler!AG56</f>
        <v>0</v>
      </c>
    </row>
    <row r="57" spans="1:31" x14ac:dyDescent="0.2">
      <c r="A57" s="29">
        <f>[1]Modeler!A57</f>
        <v>0</v>
      </c>
      <c r="B57" s="29">
        <f>[1]Modeler!B57</f>
        <v>0</v>
      </c>
      <c r="C57" s="29" t="str">
        <f>[1]Modeler!C57</f>
        <v>Pad Construction &amp; Conductor</v>
      </c>
      <c r="D57" s="37">
        <f>[1]Modeler!D57</f>
        <v>45018</v>
      </c>
      <c r="E57" s="29">
        <f>[1]Modeler!F57</f>
        <v>29</v>
      </c>
      <c r="F57" s="29" t="str">
        <f>[1]Modeler!G57</f>
        <v/>
      </c>
      <c r="G57" s="32">
        <f>[1]Modeler!H57</f>
        <v>0</v>
      </c>
      <c r="H57" s="29">
        <f>[1]Modeler!J57</f>
        <v>0</v>
      </c>
      <c r="I57" s="29">
        <f>[1]Modeler!K57</f>
        <v>0</v>
      </c>
      <c r="J57" s="29">
        <f>[1]Modeler!L57</f>
        <v>0</v>
      </c>
      <c r="K57" s="29" t="str">
        <f>[1]Modeler!M57</f>
        <v/>
      </c>
      <c r="L57" s="32">
        <f>[1]Modeler!N57</f>
        <v>0</v>
      </c>
      <c r="M57" s="29">
        <f>[1]Modeler!O57</f>
        <v>0</v>
      </c>
      <c r="N57" s="34">
        <f>[1]Modeler!P57</f>
        <v>0</v>
      </c>
      <c r="O57" s="32">
        <f>[1]Modeler!Q57</f>
        <v>0</v>
      </c>
      <c r="P57" s="29">
        <f>[1]Modeler!R57</f>
        <v>0</v>
      </c>
      <c r="Q57" s="34">
        <f>[1]Modeler!S57</f>
        <v>0</v>
      </c>
      <c r="R57" s="29">
        <f>[1]Modeler!T57</f>
        <v>0</v>
      </c>
      <c r="S57" s="29">
        <f>[1]Modeler!U57</f>
        <v>0</v>
      </c>
      <c r="T57" s="32">
        <f>[1]Modeler!V57</f>
        <v>0</v>
      </c>
      <c r="U57" s="29">
        <f>[1]Modeler!W57</f>
        <v>0</v>
      </c>
      <c r="V57" s="29">
        <f>[1]Modeler!X57</f>
        <v>0</v>
      </c>
      <c r="W57" s="32">
        <f>[1]Modeler!Y57</f>
        <v>0</v>
      </c>
      <c r="X57" s="29">
        <f>[1]Modeler!Z57</f>
        <v>0</v>
      </c>
      <c r="Y57" s="29">
        <f>[1]Modeler!AA57</f>
        <v>0</v>
      </c>
      <c r="Z57" s="32">
        <f>[1]Modeler!AB57</f>
        <v>0</v>
      </c>
      <c r="AA57" s="29">
        <f>[1]Modeler!AC57</f>
        <v>0</v>
      </c>
      <c r="AB57" s="29">
        <f>[1]Modeler!AD57</f>
        <v>0</v>
      </c>
      <c r="AC57" s="32">
        <f>[1]Modeler!AE57</f>
        <v>0</v>
      </c>
      <c r="AD57" s="29">
        <f>[1]Modeler!AF57</f>
        <v>0</v>
      </c>
      <c r="AE57" s="34">
        <f>[1]Modeler!AG57</f>
        <v>0</v>
      </c>
    </row>
    <row r="58" spans="1:31" x14ac:dyDescent="0.2">
      <c r="A58" s="29">
        <f>[1]Modeler!A58</f>
        <v>0</v>
      </c>
      <c r="B58" s="29">
        <f>[1]Modeler!B58</f>
        <v>0</v>
      </c>
      <c r="C58" s="29" t="str">
        <f>[1]Modeler!C58</f>
        <v>Final Drill Plan and DWOP</v>
      </c>
      <c r="D58" s="37">
        <f>[1]Modeler!D58</f>
        <v>45089</v>
      </c>
      <c r="E58" s="29">
        <f>[1]Modeler!F58</f>
        <v>20</v>
      </c>
      <c r="F58" s="29" t="str">
        <f>[1]Modeler!G58</f>
        <v/>
      </c>
      <c r="G58" s="32">
        <f>[1]Modeler!H58</f>
        <v>0</v>
      </c>
      <c r="H58" s="29">
        <f>[1]Modeler!J58</f>
        <v>0</v>
      </c>
      <c r="I58" s="29">
        <f>[1]Modeler!K58</f>
        <v>0</v>
      </c>
      <c r="J58" s="29">
        <f>[1]Modeler!L58</f>
        <v>0</v>
      </c>
      <c r="K58" s="29" t="str">
        <f>[1]Modeler!M58</f>
        <v/>
      </c>
      <c r="L58" s="32">
        <f>[1]Modeler!N58</f>
        <v>0</v>
      </c>
      <c r="M58" s="29">
        <f>[1]Modeler!O58</f>
        <v>0</v>
      </c>
      <c r="N58" s="34">
        <f>[1]Modeler!P58</f>
        <v>0</v>
      </c>
      <c r="O58" s="32">
        <f>[1]Modeler!Q58</f>
        <v>0</v>
      </c>
      <c r="P58" s="29">
        <f>[1]Modeler!R58</f>
        <v>0</v>
      </c>
      <c r="Q58" s="34">
        <f>[1]Modeler!S58</f>
        <v>0</v>
      </c>
      <c r="R58" s="29">
        <f>[1]Modeler!T58</f>
        <v>0</v>
      </c>
      <c r="S58" s="29">
        <f>[1]Modeler!U58</f>
        <v>0</v>
      </c>
      <c r="T58" s="32">
        <f>[1]Modeler!V58</f>
        <v>0</v>
      </c>
      <c r="U58" s="29">
        <f>[1]Modeler!W58</f>
        <v>0</v>
      </c>
      <c r="V58" s="29">
        <f>[1]Modeler!X58</f>
        <v>0</v>
      </c>
      <c r="W58" s="32">
        <f>[1]Modeler!Y58</f>
        <v>0</v>
      </c>
      <c r="X58" s="29">
        <f>[1]Modeler!Z58</f>
        <v>0</v>
      </c>
      <c r="Y58" s="29">
        <f>[1]Modeler!AA58</f>
        <v>0</v>
      </c>
      <c r="Z58" s="32">
        <f>[1]Modeler!AB58</f>
        <v>0</v>
      </c>
      <c r="AA58" s="29">
        <f>[1]Modeler!AC58</f>
        <v>0</v>
      </c>
      <c r="AB58" s="29">
        <f>[1]Modeler!AD58</f>
        <v>0</v>
      </c>
      <c r="AC58" s="32">
        <f>[1]Modeler!AE58</f>
        <v>0</v>
      </c>
      <c r="AD58" s="29">
        <f>[1]Modeler!AF58</f>
        <v>0</v>
      </c>
      <c r="AE58" s="34">
        <f>[1]Modeler!AG58</f>
        <v>0</v>
      </c>
    </row>
    <row r="59" spans="1:31" x14ac:dyDescent="0.2">
      <c r="A59" s="29">
        <f>[1]Modeler!A59</f>
        <v>0</v>
      </c>
      <c r="B59" s="29">
        <f>[1]Modeler!B59</f>
        <v>0</v>
      </c>
      <c r="C59" s="29" t="str">
        <f>[1]Modeler!C59</f>
        <v>Drill to TD</v>
      </c>
      <c r="D59" s="37">
        <f>[1]Modeler!D59</f>
        <v>45168</v>
      </c>
      <c r="E59" s="29">
        <f>[1]Modeler!F59</f>
        <v>18</v>
      </c>
      <c r="F59" s="29" t="str">
        <f>[1]Modeler!G59</f>
        <v/>
      </c>
      <c r="G59" s="32">
        <f>[1]Modeler!H59</f>
        <v>0</v>
      </c>
      <c r="H59" s="29">
        <f>[1]Modeler!J59</f>
        <v>0</v>
      </c>
      <c r="I59" s="29">
        <f>[1]Modeler!K59</f>
        <v>0</v>
      </c>
      <c r="J59" s="29">
        <f>[1]Modeler!L59</f>
        <v>0</v>
      </c>
      <c r="K59" s="29" t="str">
        <f>[1]Modeler!M59</f>
        <v/>
      </c>
      <c r="L59" s="32">
        <f>[1]Modeler!N59</f>
        <v>0</v>
      </c>
      <c r="M59" s="29">
        <f>[1]Modeler!O59</f>
        <v>0</v>
      </c>
      <c r="N59" s="34">
        <f>[1]Modeler!P59</f>
        <v>0</v>
      </c>
      <c r="O59" s="32">
        <f>[1]Modeler!Q59</f>
        <v>0</v>
      </c>
      <c r="P59" s="29">
        <f>[1]Modeler!R59</f>
        <v>0</v>
      </c>
      <c r="Q59" s="34">
        <f>[1]Modeler!S59</f>
        <v>0</v>
      </c>
      <c r="R59" s="29">
        <f>[1]Modeler!T59</f>
        <v>0</v>
      </c>
      <c r="S59" s="29">
        <f>[1]Modeler!U59</f>
        <v>0</v>
      </c>
      <c r="T59" s="32">
        <f>[1]Modeler!V59</f>
        <v>0</v>
      </c>
      <c r="U59" s="29">
        <f>[1]Modeler!W59</f>
        <v>0</v>
      </c>
      <c r="V59" s="29">
        <f>[1]Modeler!X59</f>
        <v>0</v>
      </c>
      <c r="W59" s="32">
        <f>[1]Modeler!Y59</f>
        <v>0</v>
      </c>
      <c r="X59" s="29">
        <f>[1]Modeler!Z59</f>
        <v>0</v>
      </c>
      <c r="Y59" s="29">
        <f>[1]Modeler!AA59</f>
        <v>0</v>
      </c>
      <c r="Z59" s="32">
        <f>[1]Modeler!AB59</f>
        <v>0</v>
      </c>
      <c r="AA59" s="29">
        <f>[1]Modeler!AC59</f>
        <v>0</v>
      </c>
      <c r="AB59" s="29">
        <f>[1]Modeler!AD59</f>
        <v>0</v>
      </c>
      <c r="AC59" s="32">
        <f>[1]Modeler!AE59</f>
        <v>0</v>
      </c>
      <c r="AD59" s="29">
        <f>[1]Modeler!AF59</f>
        <v>0</v>
      </c>
      <c r="AE59" s="34">
        <f>[1]Modeler!AG59</f>
        <v>0</v>
      </c>
    </row>
    <row r="60" spans="1:31" x14ac:dyDescent="0.2">
      <c r="A60" s="29">
        <f>[1]Modeler!A60</f>
        <v>0</v>
      </c>
      <c r="B60" s="29">
        <f>[1]Modeler!B60</f>
        <v>0</v>
      </c>
      <c r="C60" s="29" t="str">
        <f>[1]Modeler!C60</f>
        <v>Log &amp; Run pipe</v>
      </c>
      <c r="D60" s="37">
        <f>[1]Modeler!D60</f>
        <v>45186</v>
      </c>
      <c r="E60" s="29">
        <f>[1]Modeler!F60</f>
        <v>50</v>
      </c>
      <c r="F60" s="29" t="str">
        <f>[1]Modeler!G60</f>
        <v/>
      </c>
      <c r="G60" s="32">
        <f>[1]Modeler!H60</f>
        <v>0</v>
      </c>
      <c r="H60" s="29">
        <f>[1]Modeler!J60</f>
        <v>0</v>
      </c>
      <c r="I60" s="29">
        <f>[1]Modeler!K60</f>
        <v>0</v>
      </c>
      <c r="J60" s="29">
        <f>[1]Modeler!L60</f>
        <v>0</v>
      </c>
      <c r="K60" s="29" t="str">
        <f>[1]Modeler!M60</f>
        <v/>
      </c>
      <c r="L60" s="32">
        <f>[1]Modeler!N60</f>
        <v>0</v>
      </c>
      <c r="M60" s="29">
        <f>[1]Modeler!O60</f>
        <v>0</v>
      </c>
      <c r="N60" s="34">
        <f>[1]Modeler!P60</f>
        <v>0</v>
      </c>
      <c r="O60" s="32">
        <f>[1]Modeler!Q60</f>
        <v>0</v>
      </c>
      <c r="P60" s="29">
        <f>[1]Modeler!R60</f>
        <v>0</v>
      </c>
      <c r="Q60" s="34">
        <f>[1]Modeler!S60</f>
        <v>0</v>
      </c>
      <c r="R60" s="29">
        <f>[1]Modeler!T60</f>
        <v>0</v>
      </c>
      <c r="S60" s="29">
        <f>[1]Modeler!U60</f>
        <v>0</v>
      </c>
      <c r="T60" s="32">
        <f>[1]Modeler!V60</f>
        <v>0</v>
      </c>
      <c r="U60" s="29">
        <f>[1]Modeler!W60</f>
        <v>0</v>
      </c>
      <c r="V60" s="29">
        <f>[1]Modeler!X60</f>
        <v>0</v>
      </c>
      <c r="W60" s="32">
        <f>[1]Modeler!Y60</f>
        <v>0</v>
      </c>
      <c r="X60" s="29">
        <f>[1]Modeler!Z60</f>
        <v>0</v>
      </c>
      <c r="Y60" s="29">
        <f>[1]Modeler!AA60</f>
        <v>0</v>
      </c>
      <c r="Z60" s="32">
        <f>[1]Modeler!AB60</f>
        <v>0</v>
      </c>
      <c r="AA60" s="29">
        <f>[1]Modeler!AC60</f>
        <v>0</v>
      </c>
      <c r="AB60" s="29">
        <f>[1]Modeler!AD60</f>
        <v>0</v>
      </c>
      <c r="AC60" s="32">
        <f>[1]Modeler!AE60</f>
        <v>0</v>
      </c>
      <c r="AD60" s="29">
        <f>[1]Modeler!AF60</f>
        <v>0</v>
      </c>
      <c r="AE60" s="34">
        <f>[1]Modeler!AG60</f>
        <v>0</v>
      </c>
    </row>
    <row r="61" spans="1:31" x14ac:dyDescent="0.2">
      <c r="A61" s="29">
        <f>[1]Modeler!A61</f>
        <v>0</v>
      </c>
      <c r="B61" s="29">
        <f>[1]Modeler!B61</f>
        <v>0</v>
      </c>
      <c r="C61" s="29" t="str">
        <f>[1]Modeler!C61</f>
        <v>Completion Planning &amp; CWOP</v>
      </c>
      <c r="D61" s="37">
        <f>[1]Modeler!D61</f>
        <v>45138</v>
      </c>
      <c r="E61" s="29">
        <f>[1]Modeler!F61</f>
        <v>5</v>
      </c>
      <c r="F61" s="29" t="str">
        <f>[1]Modeler!G61</f>
        <v/>
      </c>
      <c r="G61" s="32">
        <f>[1]Modeler!H61</f>
        <v>0</v>
      </c>
      <c r="H61" s="29">
        <f>[1]Modeler!J61</f>
        <v>0</v>
      </c>
      <c r="I61" s="29">
        <f>[1]Modeler!K61</f>
        <v>0</v>
      </c>
      <c r="J61" s="29">
        <f>[1]Modeler!L61</f>
        <v>0</v>
      </c>
      <c r="K61" s="29" t="str">
        <f>[1]Modeler!M61</f>
        <v/>
      </c>
      <c r="L61" s="32">
        <f>[1]Modeler!N61</f>
        <v>0</v>
      </c>
      <c r="M61" s="29">
        <f>[1]Modeler!O61</f>
        <v>0</v>
      </c>
      <c r="N61" s="34">
        <f>[1]Modeler!P61</f>
        <v>0</v>
      </c>
      <c r="O61" s="32">
        <f>[1]Modeler!Q61</f>
        <v>0</v>
      </c>
      <c r="P61" s="29">
        <f>[1]Modeler!R61</f>
        <v>0</v>
      </c>
      <c r="Q61" s="34">
        <f>[1]Modeler!S61</f>
        <v>0</v>
      </c>
      <c r="R61" s="29">
        <f>[1]Modeler!T61</f>
        <v>0</v>
      </c>
      <c r="S61" s="29">
        <f>[1]Modeler!U61</f>
        <v>0</v>
      </c>
      <c r="T61" s="32">
        <f>[1]Modeler!V61</f>
        <v>0</v>
      </c>
      <c r="U61" s="29">
        <f>[1]Modeler!W61</f>
        <v>0</v>
      </c>
      <c r="V61" s="29">
        <f>[1]Modeler!X61</f>
        <v>0</v>
      </c>
      <c r="W61" s="32">
        <f>[1]Modeler!Y61</f>
        <v>0</v>
      </c>
      <c r="X61" s="29">
        <f>[1]Modeler!Z61</f>
        <v>0</v>
      </c>
      <c r="Y61" s="29">
        <f>[1]Modeler!AA61</f>
        <v>0</v>
      </c>
      <c r="Z61" s="32">
        <f>[1]Modeler!AB61</f>
        <v>0</v>
      </c>
      <c r="AA61" s="29">
        <f>[1]Modeler!AC61</f>
        <v>0</v>
      </c>
      <c r="AB61" s="29">
        <f>[1]Modeler!AD61</f>
        <v>0</v>
      </c>
      <c r="AC61" s="32">
        <f>[1]Modeler!AE61</f>
        <v>0</v>
      </c>
      <c r="AD61" s="29">
        <f>[1]Modeler!AF61</f>
        <v>0</v>
      </c>
      <c r="AE61" s="34">
        <f>[1]Modeler!AG61</f>
        <v>0</v>
      </c>
    </row>
    <row r="62" spans="1:31" x14ac:dyDescent="0.2">
      <c r="A62" s="29">
        <f>[1]Modeler!A62</f>
        <v>0</v>
      </c>
      <c r="B62" s="29">
        <f>[1]Modeler!B62</f>
        <v>0</v>
      </c>
      <c r="C62" s="29" t="str">
        <f>[1]Modeler!C62</f>
        <v>Completion Operations</v>
      </c>
      <c r="D62" s="37">
        <f>[1]Modeler!D62</f>
        <v>45152</v>
      </c>
      <c r="E62" s="29">
        <f>[1]Modeler!F62</f>
        <v>5</v>
      </c>
      <c r="F62" s="29" t="str">
        <f>[1]Modeler!G62</f>
        <v/>
      </c>
      <c r="G62" s="32">
        <f>[1]Modeler!H62</f>
        <v>0</v>
      </c>
      <c r="H62" s="29">
        <f>[1]Modeler!J62</f>
        <v>0</v>
      </c>
      <c r="I62" s="29">
        <f>[1]Modeler!K62</f>
        <v>0</v>
      </c>
      <c r="J62" s="29">
        <f>[1]Modeler!L62</f>
        <v>0</v>
      </c>
      <c r="K62" s="29" t="str">
        <f>[1]Modeler!M62</f>
        <v/>
      </c>
      <c r="L62" s="32">
        <f>[1]Modeler!N62</f>
        <v>0</v>
      </c>
      <c r="M62" s="29">
        <f>[1]Modeler!O62</f>
        <v>0</v>
      </c>
      <c r="N62" s="34">
        <f>[1]Modeler!P62</f>
        <v>0</v>
      </c>
      <c r="O62" s="32">
        <f>[1]Modeler!Q62</f>
        <v>0</v>
      </c>
      <c r="P62" s="29">
        <f>[1]Modeler!R62</f>
        <v>0</v>
      </c>
      <c r="Q62" s="34">
        <f>[1]Modeler!S62</f>
        <v>0</v>
      </c>
      <c r="R62" s="29">
        <f>[1]Modeler!T62</f>
        <v>0</v>
      </c>
      <c r="S62" s="29">
        <f>[1]Modeler!U62</f>
        <v>0</v>
      </c>
      <c r="T62" s="32">
        <f>[1]Modeler!V62</f>
        <v>0</v>
      </c>
      <c r="U62" s="29">
        <f>[1]Modeler!W62</f>
        <v>0</v>
      </c>
      <c r="V62" s="29">
        <f>[1]Modeler!X62</f>
        <v>0</v>
      </c>
      <c r="W62" s="32">
        <f>[1]Modeler!Y62</f>
        <v>0</v>
      </c>
      <c r="X62" s="29">
        <f>[1]Modeler!Z62</f>
        <v>0</v>
      </c>
      <c r="Y62" s="29">
        <f>[1]Modeler!AA62</f>
        <v>0</v>
      </c>
      <c r="Z62" s="32">
        <f>[1]Modeler!AB62</f>
        <v>0</v>
      </c>
      <c r="AA62" s="29">
        <f>[1]Modeler!AC62</f>
        <v>0</v>
      </c>
      <c r="AB62" s="29">
        <f>[1]Modeler!AD62</f>
        <v>0</v>
      </c>
      <c r="AC62" s="32">
        <f>[1]Modeler!AE62</f>
        <v>0</v>
      </c>
      <c r="AD62" s="29">
        <f>[1]Modeler!AF62</f>
        <v>0</v>
      </c>
      <c r="AE62" s="34">
        <f>[1]Modeler!AG62</f>
        <v>0</v>
      </c>
    </row>
    <row r="63" spans="1:31" x14ac:dyDescent="0.2">
      <c r="A63" s="29">
        <f>[1]Modeler!A63</f>
        <v>0</v>
      </c>
      <c r="B63" s="29">
        <f>[1]Modeler!B63</f>
        <v>0</v>
      </c>
      <c r="C63" s="29" t="str">
        <f>[1]Modeler!C63</f>
        <v>Perforate and DFIT's (5 intervals)</v>
      </c>
      <c r="D63" s="37">
        <f>[1]Modeler!D63</f>
        <v>45157</v>
      </c>
      <c r="E63" s="29">
        <f>[1]Modeler!F63</f>
        <v>10</v>
      </c>
      <c r="F63" s="29" t="str">
        <f>[1]Modeler!G63</f>
        <v/>
      </c>
      <c r="G63" s="32">
        <f>[1]Modeler!H63</f>
        <v>0</v>
      </c>
      <c r="H63" s="29">
        <f>[1]Modeler!J63</f>
        <v>0</v>
      </c>
      <c r="I63" s="29">
        <f>[1]Modeler!K63</f>
        <v>0</v>
      </c>
      <c r="J63" s="29">
        <f>[1]Modeler!L63</f>
        <v>0</v>
      </c>
      <c r="K63" s="29" t="str">
        <f>[1]Modeler!M63</f>
        <v/>
      </c>
      <c r="L63" s="32">
        <f>[1]Modeler!N63</f>
        <v>0</v>
      </c>
      <c r="M63" s="29">
        <f>[1]Modeler!O63</f>
        <v>0</v>
      </c>
      <c r="N63" s="34">
        <f>[1]Modeler!P63</f>
        <v>0</v>
      </c>
      <c r="O63" s="32">
        <f>[1]Modeler!Q63</f>
        <v>0</v>
      </c>
      <c r="P63" s="29">
        <f>[1]Modeler!R63</f>
        <v>0</v>
      </c>
      <c r="Q63" s="34">
        <f>[1]Modeler!S63</f>
        <v>0</v>
      </c>
      <c r="R63" s="29">
        <f>[1]Modeler!T63</f>
        <v>0</v>
      </c>
      <c r="S63" s="29">
        <f>[1]Modeler!U63</f>
        <v>0</v>
      </c>
      <c r="T63" s="32">
        <f>[1]Modeler!V63</f>
        <v>0</v>
      </c>
      <c r="U63" s="29">
        <f>[1]Modeler!W63</f>
        <v>0</v>
      </c>
      <c r="V63" s="29">
        <f>[1]Modeler!X63</f>
        <v>0</v>
      </c>
      <c r="W63" s="32">
        <f>[1]Modeler!Y63</f>
        <v>0</v>
      </c>
      <c r="X63" s="29">
        <f>[1]Modeler!Z63</f>
        <v>0</v>
      </c>
      <c r="Y63" s="29">
        <f>[1]Modeler!AA63</f>
        <v>0</v>
      </c>
      <c r="Z63" s="32">
        <f>[1]Modeler!AB63</f>
        <v>0</v>
      </c>
      <c r="AA63" s="29">
        <f>[1]Modeler!AC63</f>
        <v>0</v>
      </c>
      <c r="AB63" s="29">
        <f>[1]Modeler!AD63</f>
        <v>0</v>
      </c>
      <c r="AC63" s="32">
        <f>[1]Modeler!AE63</f>
        <v>0</v>
      </c>
      <c r="AD63" s="29">
        <f>[1]Modeler!AF63</f>
        <v>0</v>
      </c>
      <c r="AE63" s="34">
        <f>[1]Modeler!AG63</f>
        <v>0</v>
      </c>
    </row>
    <row r="64" spans="1:31" x14ac:dyDescent="0.2">
      <c r="A64" s="29">
        <f>[1]Modeler!A64</f>
        <v>0</v>
      </c>
      <c r="B64" s="29">
        <f>[1]Modeler!B64</f>
        <v>0</v>
      </c>
      <c r="C64" s="29" t="str">
        <f>[1]Modeler!C64</f>
        <v>Set Packer &amp; Tube Up</v>
      </c>
      <c r="D64" s="37">
        <f>[1]Modeler!D64</f>
        <v>45167</v>
      </c>
      <c r="E64" s="29">
        <f>[1]Modeler!F64</f>
        <v>4</v>
      </c>
      <c r="F64" s="29" t="str">
        <f>[1]Modeler!G64</f>
        <v/>
      </c>
      <c r="G64" s="32">
        <f>[1]Modeler!H64</f>
        <v>0</v>
      </c>
      <c r="H64" s="29">
        <f>[1]Modeler!J64</f>
        <v>0</v>
      </c>
      <c r="I64" s="29">
        <f>[1]Modeler!K64</f>
        <v>0</v>
      </c>
      <c r="J64" s="29">
        <f>[1]Modeler!L64</f>
        <v>0</v>
      </c>
      <c r="K64" s="29" t="str">
        <f>[1]Modeler!M64</f>
        <v/>
      </c>
      <c r="L64" s="32">
        <f>[1]Modeler!N64</f>
        <v>0</v>
      </c>
      <c r="M64" s="29">
        <f>[1]Modeler!O64</f>
        <v>0</v>
      </c>
      <c r="N64" s="34">
        <f>[1]Modeler!P64</f>
        <v>0</v>
      </c>
      <c r="O64" s="32">
        <f>[1]Modeler!Q64</f>
        <v>0</v>
      </c>
      <c r="P64" s="29">
        <f>[1]Modeler!R64</f>
        <v>0</v>
      </c>
      <c r="Q64" s="34">
        <f>[1]Modeler!S64</f>
        <v>0</v>
      </c>
      <c r="R64" s="29">
        <f>[1]Modeler!T64</f>
        <v>0</v>
      </c>
      <c r="S64" s="29">
        <f>[1]Modeler!U64</f>
        <v>0</v>
      </c>
      <c r="T64" s="32">
        <f>[1]Modeler!V64</f>
        <v>0</v>
      </c>
      <c r="U64" s="29">
        <f>[1]Modeler!W64</f>
        <v>0</v>
      </c>
      <c r="V64" s="29">
        <f>[1]Modeler!X64</f>
        <v>0</v>
      </c>
      <c r="W64" s="32">
        <f>[1]Modeler!Y64</f>
        <v>0</v>
      </c>
      <c r="X64" s="29">
        <f>[1]Modeler!Z64</f>
        <v>0</v>
      </c>
      <c r="Y64" s="29">
        <f>[1]Modeler!AA64</f>
        <v>0</v>
      </c>
      <c r="Z64" s="32">
        <f>[1]Modeler!AB64</f>
        <v>0</v>
      </c>
      <c r="AA64" s="29">
        <f>[1]Modeler!AC64</f>
        <v>0</v>
      </c>
      <c r="AB64" s="29">
        <f>[1]Modeler!AD64</f>
        <v>0</v>
      </c>
      <c r="AC64" s="32">
        <f>[1]Modeler!AE64</f>
        <v>0</v>
      </c>
      <c r="AD64" s="29">
        <f>[1]Modeler!AF64</f>
        <v>0</v>
      </c>
      <c r="AE64" s="34">
        <f>[1]Modeler!AG64</f>
        <v>0</v>
      </c>
    </row>
    <row r="65" spans="1:31" x14ac:dyDescent="0.2">
      <c r="A65" s="29">
        <f>[1]Modeler!A65</f>
        <v>0</v>
      </c>
      <c r="B65" s="29">
        <f>[1]Modeler!B65</f>
        <v>0</v>
      </c>
      <c r="C65" s="29" t="str">
        <f>[1]Modeler!C65</f>
        <v>Put well in service</v>
      </c>
      <c r="D65" s="37">
        <f>[1]Modeler!D65</f>
        <v>45323</v>
      </c>
      <c r="E65" s="29">
        <f>[1]Modeler!F65</f>
        <v>7</v>
      </c>
      <c r="F65" s="29" t="str">
        <f>[1]Modeler!G65</f>
        <v/>
      </c>
      <c r="G65" s="32">
        <f>[1]Modeler!H65</f>
        <v>0</v>
      </c>
      <c r="H65" s="29">
        <f>[1]Modeler!J65</f>
        <v>0</v>
      </c>
      <c r="I65" s="29">
        <f>[1]Modeler!K65</f>
        <v>0</v>
      </c>
      <c r="J65" s="29">
        <f>[1]Modeler!L65</f>
        <v>0</v>
      </c>
      <c r="K65" s="29" t="str">
        <f>[1]Modeler!M65</f>
        <v/>
      </c>
      <c r="L65" s="32">
        <f>[1]Modeler!N65</f>
        <v>0</v>
      </c>
      <c r="M65" s="29">
        <f>[1]Modeler!O65</f>
        <v>0</v>
      </c>
      <c r="N65" s="34">
        <f>[1]Modeler!P65</f>
        <v>0</v>
      </c>
      <c r="O65" s="32">
        <f>[1]Modeler!Q65</f>
        <v>0</v>
      </c>
      <c r="P65" s="29">
        <f>[1]Modeler!R65</f>
        <v>0</v>
      </c>
      <c r="Q65" s="34">
        <f>[1]Modeler!S65</f>
        <v>0</v>
      </c>
      <c r="R65" s="29">
        <f>[1]Modeler!T65</f>
        <v>0</v>
      </c>
      <c r="S65" s="29">
        <f>[1]Modeler!U65</f>
        <v>0</v>
      </c>
      <c r="T65" s="32">
        <f>[1]Modeler!V65</f>
        <v>0</v>
      </c>
      <c r="U65" s="29">
        <f>[1]Modeler!W65</f>
        <v>0</v>
      </c>
      <c r="V65" s="29">
        <f>[1]Modeler!X65</f>
        <v>0</v>
      </c>
      <c r="W65" s="32">
        <f>[1]Modeler!Y65</f>
        <v>0</v>
      </c>
      <c r="X65" s="29">
        <f>[1]Modeler!Z65</f>
        <v>0</v>
      </c>
      <c r="Y65" s="29">
        <f>[1]Modeler!AA65</f>
        <v>0</v>
      </c>
      <c r="Z65" s="32">
        <f>[1]Modeler!AB65</f>
        <v>0</v>
      </c>
      <c r="AA65" s="29">
        <f>[1]Modeler!AC65</f>
        <v>0</v>
      </c>
      <c r="AB65" s="29">
        <f>[1]Modeler!AD65</f>
        <v>0</v>
      </c>
      <c r="AC65" s="32">
        <f>[1]Modeler!AE65</f>
        <v>0</v>
      </c>
      <c r="AD65" s="29">
        <f>[1]Modeler!AF65</f>
        <v>0</v>
      </c>
      <c r="AE65" s="34">
        <f>[1]Modeler!AG65</f>
        <v>0</v>
      </c>
    </row>
    <row r="66" spans="1:31" x14ac:dyDescent="0.2">
      <c r="A66" s="29">
        <f>[1]Modeler!A66</f>
        <v>0</v>
      </c>
      <c r="B66" s="29">
        <f>[1]Modeler!B66</f>
        <v>0</v>
      </c>
      <c r="C66" s="29">
        <f>[1]Modeler!C66</f>
        <v>0</v>
      </c>
      <c r="D66" s="37">
        <f>[1]Modeler!D66</f>
        <v>0</v>
      </c>
      <c r="E66" s="29">
        <f>[1]Modeler!F66</f>
        <v>0</v>
      </c>
      <c r="F66" s="29" t="str">
        <f>[1]Modeler!G66</f>
        <v/>
      </c>
      <c r="G66" s="32">
        <f>[1]Modeler!H66</f>
        <v>0</v>
      </c>
      <c r="H66" s="29">
        <f>[1]Modeler!J66</f>
        <v>0</v>
      </c>
      <c r="I66" s="29">
        <f>[1]Modeler!K66</f>
        <v>0</v>
      </c>
      <c r="J66" s="29">
        <f>[1]Modeler!L66</f>
        <v>0</v>
      </c>
      <c r="K66" s="29" t="str">
        <f>[1]Modeler!M66</f>
        <v/>
      </c>
      <c r="L66" s="32">
        <f>[1]Modeler!N66</f>
        <v>0</v>
      </c>
      <c r="M66" s="29">
        <f>[1]Modeler!O66</f>
        <v>0</v>
      </c>
      <c r="N66" s="34">
        <f>[1]Modeler!P66</f>
        <v>0</v>
      </c>
      <c r="O66" s="32">
        <f>[1]Modeler!Q66</f>
        <v>0</v>
      </c>
      <c r="P66" s="29">
        <f>[1]Modeler!R66</f>
        <v>0</v>
      </c>
      <c r="Q66" s="34">
        <f>[1]Modeler!S66</f>
        <v>0</v>
      </c>
      <c r="R66" s="29">
        <f>[1]Modeler!T66</f>
        <v>0</v>
      </c>
      <c r="S66" s="29">
        <f>[1]Modeler!U66</f>
        <v>0</v>
      </c>
      <c r="T66" s="32">
        <f>[1]Modeler!V66</f>
        <v>0</v>
      </c>
      <c r="U66" s="29">
        <f>[1]Modeler!W66</f>
        <v>0</v>
      </c>
      <c r="V66" s="29">
        <f>[1]Modeler!X66</f>
        <v>0</v>
      </c>
      <c r="W66" s="32">
        <f>[1]Modeler!Y66</f>
        <v>0</v>
      </c>
      <c r="X66" s="29">
        <f>[1]Modeler!Z66</f>
        <v>0</v>
      </c>
      <c r="Y66" s="29">
        <f>[1]Modeler!AA66</f>
        <v>0</v>
      </c>
      <c r="Z66" s="32">
        <f>[1]Modeler!AB66</f>
        <v>0</v>
      </c>
      <c r="AA66" s="29">
        <f>[1]Modeler!AC66</f>
        <v>0</v>
      </c>
      <c r="AB66" s="29">
        <f>[1]Modeler!AD66</f>
        <v>0</v>
      </c>
      <c r="AC66" s="32">
        <f>[1]Modeler!AE66</f>
        <v>0</v>
      </c>
      <c r="AD66" s="29">
        <f>[1]Modeler!AF66</f>
        <v>0</v>
      </c>
      <c r="AE66" s="34">
        <f>[1]Modeler!AG66</f>
        <v>0</v>
      </c>
    </row>
    <row r="67" spans="1:31" x14ac:dyDescent="0.2">
      <c r="A67" s="29">
        <f>[1]Modeler!A67</f>
        <v>0</v>
      </c>
      <c r="B67" s="29">
        <f>[1]Modeler!B67</f>
        <v>0</v>
      </c>
      <c r="C67" s="29" t="str">
        <f>[1]Modeler!C67</f>
        <v>FACILITIES CONSTRUCTION</v>
      </c>
      <c r="D67" s="37">
        <f>[1]Modeler!D67</f>
        <v>44931</v>
      </c>
      <c r="E67" s="29">
        <f>[1]Modeler!F67</f>
        <v>247</v>
      </c>
      <c r="F67" s="29" t="str">
        <f>[1]Modeler!G67</f>
        <v/>
      </c>
      <c r="G67" s="32">
        <f>[1]Modeler!H67</f>
        <v>0</v>
      </c>
      <c r="H67" s="29">
        <f>[1]Modeler!J67</f>
        <v>0</v>
      </c>
      <c r="I67" s="29">
        <f>[1]Modeler!K67</f>
        <v>0</v>
      </c>
      <c r="J67" s="29">
        <f>[1]Modeler!L67</f>
        <v>0</v>
      </c>
      <c r="K67" s="29" t="str">
        <f>[1]Modeler!M67</f>
        <v/>
      </c>
      <c r="L67" s="32">
        <f>[1]Modeler!N67</f>
        <v>0</v>
      </c>
      <c r="M67" s="29">
        <f>[1]Modeler!O67</f>
        <v>0</v>
      </c>
      <c r="N67" s="34">
        <f>[1]Modeler!P67</f>
        <v>0</v>
      </c>
      <c r="O67" s="32">
        <f>[1]Modeler!Q67</f>
        <v>0</v>
      </c>
      <c r="P67" s="29">
        <f>[1]Modeler!R67</f>
        <v>0</v>
      </c>
      <c r="Q67" s="34">
        <f>[1]Modeler!S67</f>
        <v>0</v>
      </c>
      <c r="R67" s="29">
        <f>[1]Modeler!T67</f>
        <v>0</v>
      </c>
      <c r="S67" s="29">
        <f>[1]Modeler!U67</f>
        <v>0</v>
      </c>
      <c r="T67" s="32">
        <f>[1]Modeler!V67</f>
        <v>0</v>
      </c>
      <c r="U67" s="29">
        <f>[1]Modeler!W67</f>
        <v>0</v>
      </c>
      <c r="V67" s="29">
        <f>[1]Modeler!X67</f>
        <v>0</v>
      </c>
      <c r="W67" s="32">
        <f>[1]Modeler!Y67</f>
        <v>0</v>
      </c>
      <c r="X67" s="29">
        <f>[1]Modeler!Z67</f>
        <v>0</v>
      </c>
      <c r="Y67" s="29">
        <f>[1]Modeler!AA67</f>
        <v>0</v>
      </c>
      <c r="Z67" s="32">
        <f>[1]Modeler!AB67</f>
        <v>0</v>
      </c>
      <c r="AA67" s="29">
        <f>[1]Modeler!AC67</f>
        <v>0</v>
      </c>
      <c r="AB67" s="29">
        <f>[1]Modeler!AD67</f>
        <v>0</v>
      </c>
      <c r="AC67" s="32">
        <f>[1]Modeler!AE67</f>
        <v>0</v>
      </c>
      <c r="AD67" s="29">
        <f>[1]Modeler!AF67</f>
        <v>0</v>
      </c>
      <c r="AE67" s="34">
        <f>[1]Modeler!AG67</f>
        <v>0</v>
      </c>
    </row>
    <row r="68" spans="1:31" x14ac:dyDescent="0.2">
      <c r="A68" s="29">
        <f>[1]Modeler!A68</f>
        <v>0</v>
      </c>
      <c r="B68" s="29">
        <f>[1]Modeler!B68</f>
        <v>0</v>
      </c>
      <c r="C68" s="29" t="str">
        <f>[1]Modeler!C68</f>
        <v>Design Facilities</v>
      </c>
      <c r="D68" s="37">
        <f>[1]Modeler!D68</f>
        <v>44931</v>
      </c>
      <c r="E68" s="29">
        <f>[1]Modeler!F68</f>
        <v>55</v>
      </c>
      <c r="F68" s="29" t="str">
        <f>[1]Modeler!G68</f>
        <v/>
      </c>
      <c r="G68" s="32">
        <f>[1]Modeler!H68</f>
        <v>0</v>
      </c>
      <c r="H68" s="29">
        <f>[1]Modeler!J68</f>
        <v>0</v>
      </c>
      <c r="I68" s="29">
        <f>[1]Modeler!K68</f>
        <v>0</v>
      </c>
      <c r="J68" s="29">
        <f>[1]Modeler!L68</f>
        <v>0</v>
      </c>
      <c r="K68" s="29" t="str">
        <f>[1]Modeler!M68</f>
        <v/>
      </c>
      <c r="L68" s="32">
        <f>[1]Modeler!N68</f>
        <v>0</v>
      </c>
      <c r="M68" s="29">
        <f>[1]Modeler!O68</f>
        <v>0</v>
      </c>
      <c r="N68" s="34">
        <f>[1]Modeler!P68</f>
        <v>0</v>
      </c>
      <c r="O68" s="32">
        <f>[1]Modeler!Q68</f>
        <v>0</v>
      </c>
      <c r="P68" s="29">
        <f>[1]Modeler!R68</f>
        <v>0</v>
      </c>
      <c r="Q68" s="34">
        <f>[1]Modeler!S68</f>
        <v>0</v>
      </c>
      <c r="R68" s="29">
        <f>[1]Modeler!T68</f>
        <v>0</v>
      </c>
      <c r="S68" s="29">
        <f>[1]Modeler!U68</f>
        <v>0</v>
      </c>
      <c r="T68" s="32">
        <f>[1]Modeler!V68</f>
        <v>0</v>
      </c>
      <c r="U68" s="29">
        <f>[1]Modeler!W68</f>
        <v>0</v>
      </c>
      <c r="V68" s="29">
        <f>[1]Modeler!X68</f>
        <v>0</v>
      </c>
      <c r="W68" s="32">
        <f>[1]Modeler!Y68</f>
        <v>0</v>
      </c>
      <c r="X68" s="29">
        <f>[1]Modeler!Z68</f>
        <v>0</v>
      </c>
      <c r="Y68" s="29">
        <f>[1]Modeler!AA68</f>
        <v>0</v>
      </c>
      <c r="Z68" s="32">
        <f>[1]Modeler!AB68</f>
        <v>0</v>
      </c>
      <c r="AA68" s="29">
        <f>[1]Modeler!AC68</f>
        <v>0</v>
      </c>
      <c r="AB68" s="29">
        <f>[1]Modeler!AD68</f>
        <v>0</v>
      </c>
      <c r="AC68" s="32">
        <f>[1]Modeler!AE68</f>
        <v>0</v>
      </c>
      <c r="AD68" s="29">
        <f>[1]Modeler!AF68</f>
        <v>0</v>
      </c>
      <c r="AE68" s="34">
        <f>[1]Modeler!AG68</f>
        <v>0</v>
      </c>
    </row>
    <row r="69" spans="1:31" x14ac:dyDescent="0.2">
      <c r="A69" s="29">
        <f>[1]Modeler!A69</f>
        <v>0</v>
      </c>
      <c r="B69" s="29">
        <f>[1]Modeler!B69</f>
        <v>0</v>
      </c>
      <c r="C69" s="29" t="str">
        <f>[1]Modeler!C69</f>
        <v>Order Equipment</v>
      </c>
      <c r="D69" s="37">
        <f>[1]Modeler!D69</f>
        <v>44986</v>
      </c>
      <c r="E69" s="29">
        <f>[1]Modeler!F69</f>
        <v>180</v>
      </c>
      <c r="F69" s="29" t="str">
        <f>[1]Modeler!G69</f>
        <v/>
      </c>
      <c r="G69" s="32">
        <f>[1]Modeler!H69</f>
        <v>0</v>
      </c>
      <c r="H69" s="29">
        <f>[1]Modeler!J69</f>
        <v>0</v>
      </c>
      <c r="I69" s="29">
        <f>[1]Modeler!K69</f>
        <v>0</v>
      </c>
      <c r="J69" s="29">
        <f>[1]Modeler!L69</f>
        <v>0</v>
      </c>
      <c r="K69" s="29" t="str">
        <f>[1]Modeler!M69</f>
        <v/>
      </c>
      <c r="L69" s="32">
        <f>[1]Modeler!N69</f>
        <v>0</v>
      </c>
      <c r="M69" s="29">
        <f>[1]Modeler!O69</f>
        <v>0</v>
      </c>
      <c r="N69" s="34">
        <f>[1]Modeler!P69</f>
        <v>0</v>
      </c>
      <c r="O69" s="32">
        <f>[1]Modeler!Q69</f>
        <v>0</v>
      </c>
      <c r="P69" s="29">
        <f>[1]Modeler!R69</f>
        <v>0</v>
      </c>
      <c r="Q69" s="34">
        <f>[1]Modeler!S69</f>
        <v>0</v>
      </c>
      <c r="R69" s="29">
        <f>[1]Modeler!T69</f>
        <v>0</v>
      </c>
      <c r="S69" s="29">
        <f>[1]Modeler!U69</f>
        <v>0</v>
      </c>
      <c r="T69" s="32">
        <f>[1]Modeler!V69</f>
        <v>0</v>
      </c>
      <c r="U69" s="29">
        <f>[1]Modeler!W69</f>
        <v>0</v>
      </c>
      <c r="V69" s="29">
        <f>[1]Modeler!X69</f>
        <v>0</v>
      </c>
      <c r="W69" s="32">
        <f>[1]Modeler!Y69</f>
        <v>0</v>
      </c>
      <c r="X69" s="29">
        <f>[1]Modeler!Z69</f>
        <v>0</v>
      </c>
      <c r="Y69" s="29">
        <f>[1]Modeler!AA69</f>
        <v>0</v>
      </c>
      <c r="Z69" s="32">
        <f>[1]Modeler!AB69</f>
        <v>0</v>
      </c>
      <c r="AA69" s="29">
        <f>[1]Modeler!AC69</f>
        <v>0</v>
      </c>
      <c r="AB69" s="29">
        <f>[1]Modeler!AD69</f>
        <v>0</v>
      </c>
      <c r="AC69" s="32">
        <f>[1]Modeler!AE69</f>
        <v>0</v>
      </c>
      <c r="AD69" s="29">
        <f>[1]Modeler!AF69</f>
        <v>0</v>
      </c>
      <c r="AE69" s="34">
        <f>[1]Modeler!AG69</f>
        <v>0</v>
      </c>
    </row>
    <row r="70" spans="1:31" x14ac:dyDescent="0.2">
      <c r="A70" s="29">
        <f>[1]Modeler!A70</f>
        <v>0</v>
      </c>
      <c r="B70" s="29">
        <f>[1]Modeler!B70</f>
        <v>0</v>
      </c>
      <c r="C70" s="29" t="str">
        <f>[1]Modeler!C70</f>
        <v>Equip new wells</v>
      </c>
      <c r="D70" s="37">
        <f>[1]Modeler!D70</f>
        <v>45117</v>
      </c>
      <c r="E70" s="29">
        <f>[1]Modeler!F70</f>
        <v>61</v>
      </c>
      <c r="F70" s="29" t="str">
        <f>[1]Modeler!G70</f>
        <v/>
      </c>
      <c r="G70" s="32">
        <f>[1]Modeler!H70</f>
        <v>0</v>
      </c>
      <c r="H70" s="29">
        <f>[1]Modeler!J70</f>
        <v>0</v>
      </c>
      <c r="I70" s="29">
        <f>[1]Modeler!K70</f>
        <v>0</v>
      </c>
      <c r="J70" s="29">
        <f>[1]Modeler!L70</f>
        <v>0</v>
      </c>
      <c r="K70" s="29" t="str">
        <f>[1]Modeler!M70</f>
        <v/>
      </c>
      <c r="L70" s="32">
        <f>[1]Modeler!N70</f>
        <v>0</v>
      </c>
      <c r="M70" s="29">
        <f>[1]Modeler!O70</f>
        <v>0</v>
      </c>
      <c r="N70" s="34">
        <f>[1]Modeler!P70</f>
        <v>0</v>
      </c>
      <c r="O70" s="32">
        <f>[1]Modeler!Q70</f>
        <v>0</v>
      </c>
      <c r="P70" s="29">
        <f>[1]Modeler!R70</f>
        <v>0</v>
      </c>
      <c r="Q70" s="34">
        <f>[1]Modeler!S70</f>
        <v>0</v>
      </c>
      <c r="R70" s="29">
        <f>[1]Modeler!T70</f>
        <v>0</v>
      </c>
      <c r="S70" s="29">
        <f>[1]Modeler!U70</f>
        <v>0</v>
      </c>
      <c r="T70" s="32">
        <f>[1]Modeler!V70</f>
        <v>0</v>
      </c>
      <c r="U70" s="29">
        <f>[1]Modeler!W70</f>
        <v>0</v>
      </c>
      <c r="V70" s="29">
        <f>[1]Modeler!X70</f>
        <v>0</v>
      </c>
      <c r="W70" s="32">
        <f>[1]Modeler!Y70</f>
        <v>0</v>
      </c>
      <c r="X70" s="29">
        <f>[1]Modeler!Z70</f>
        <v>0</v>
      </c>
      <c r="Y70" s="29">
        <f>[1]Modeler!AA70</f>
        <v>0</v>
      </c>
      <c r="Z70" s="32">
        <f>[1]Modeler!AB70</f>
        <v>0</v>
      </c>
      <c r="AA70" s="29">
        <f>[1]Modeler!AC70</f>
        <v>0</v>
      </c>
      <c r="AB70" s="29">
        <f>[1]Modeler!AD70</f>
        <v>0</v>
      </c>
      <c r="AC70" s="32">
        <f>[1]Modeler!AE70</f>
        <v>0</v>
      </c>
      <c r="AD70" s="29">
        <f>[1]Modeler!AF70</f>
        <v>0</v>
      </c>
      <c r="AE70" s="34">
        <f>[1]Modeler!AG70</f>
        <v>0</v>
      </c>
    </row>
    <row r="71" spans="1:31" x14ac:dyDescent="0.2">
      <c r="A71" s="29">
        <f>[1]Modeler!A71</f>
        <v>0</v>
      </c>
      <c r="B71" s="29">
        <f>[1]Modeler!B71</f>
        <v>0</v>
      </c>
      <c r="C71" s="29" t="str">
        <f>[1]Modeler!C71</f>
        <v>W/G Production and Injection Line Installation</v>
      </c>
      <c r="D71" s="37">
        <f>[1]Modeler!D71</f>
        <v>45078</v>
      </c>
      <c r="E71" s="29">
        <f>[1]Modeler!F71</f>
        <v>92</v>
      </c>
      <c r="F71" s="29" t="str">
        <f>[1]Modeler!G71</f>
        <v/>
      </c>
      <c r="G71" s="32">
        <f>[1]Modeler!H71</f>
        <v>0</v>
      </c>
      <c r="H71" s="29">
        <f>[1]Modeler!J71</f>
        <v>0</v>
      </c>
      <c r="I71" s="29">
        <f>[1]Modeler!K71</f>
        <v>0</v>
      </c>
      <c r="J71" s="29">
        <f>[1]Modeler!L71</f>
        <v>0</v>
      </c>
      <c r="K71" s="29" t="str">
        <f>[1]Modeler!M71</f>
        <v/>
      </c>
      <c r="L71" s="32">
        <f>[1]Modeler!N71</f>
        <v>0</v>
      </c>
      <c r="M71" s="29">
        <f>[1]Modeler!O71</f>
        <v>0</v>
      </c>
      <c r="N71" s="34">
        <f>[1]Modeler!P71</f>
        <v>0</v>
      </c>
      <c r="O71" s="32">
        <f>[1]Modeler!Q71</f>
        <v>0</v>
      </c>
      <c r="P71" s="29">
        <f>[1]Modeler!R71</f>
        <v>0</v>
      </c>
      <c r="Q71" s="34">
        <f>[1]Modeler!S71</f>
        <v>0</v>
      </c>
      <c r="R71" s="29">
        <f>[1]Modeler!T71</f>
        <v>0</v>
      </c>
      <c r="S71" s="29">
        <f>[1]Modeler!U71</f>
        <v>0</v>
      </c>
      <c r="T71" s="32">
        <f>[1]Modeler!V71</f>
        <v>0</v>
      </c>
      <c r="U71" s="29">
        <f>[1]Modeler!W71</f>
        <v>0</v>
      </c>
      <c r="V71" s="29">
        <f>[1]Modeler!X71</f>
        <v>0</v>
      </c>
      <c r="W71" s="32">
        <f>[1]Modeler!Y71</f>
        <v>0</v>
      </c>
      <c r="X71" s="29">
        <f>[1]Modeler!Z71</f>
        <v>0</v>
      </c>
      <c r="Y71" s="29">
        <f>[1]Modeler!AA71</f>
        <v>0</v>
      </c>
      <c r="Z71" s="32">
        <f>[1]Modeler!AB71</f>
        <v>0</v>
      </c>
      <c r="AA71" s="29">
        <f>[1]Modeler!AC71</f>
        <v>0</v>
      </c>
      <c r="AB71" s="29">
        <f>[1]Modeler!AD71</f>
        <v>0</v>
      </c>
      <c r="AC71" s="32">
        <f>[1]Modeler!AE71</f>
        <v>0</v>
      </c>
      <c r="AD71" s="29">
        <f>[1]Modeler!AF71</f>
        <v>0</v>
      </c>
      <c r="AE71" s="34">
        <f>[1]Modeler!AG71</f>
        <v>0</v>
      </c>
    </row>
    <row r="72" spans="1:31" x14ac:dyDescent="0.2">
      <c r="A72" s="29">
        <f>[1]Modeler!A72</f>
        <v>0</v>
      </c>
      <c r="B72" s="29">
        <f>[1]Modeler!B72</f>
        <v>0</v>
      </c>
      <c r="C72" s="29" t="str">
        <f>[1]Modeler!C72</f>
        <v>Gas Marketing Agreements</v>
      </c>
      <c r="D72" s="37">
        <f>[1]Modeler!D72</f>
        <v>45139</v>
      </c>
      <c r="E72" s="29">
        <f>[1]Modeler!F72</f>
        <v>31</v>
      </c>
      <c r="F72" s="29" t="str">
        <f>[1]Modeler!G72</f>
        <v/>
      </c>
      <c r="G72" s="32">
        <f>[1]Modeler!H72</f>
        <v>0</v>
      </c>
      <c r="H72" s="29">
        <f>[1]Modeler!J72</f>
        <v>0</v>
      </c>
      <c r="I72" s="29">
        <f>[1]Modeler!K72</f>
        <v>0</v>
      </c>
      <c r="J72" s="29">
        <f>[1]Modeler!L72</f>
        <v>0</v>
      </c>
      <c r="K72" s="29" t="str">
        <f>[1]Modeler!M72</f>
        <v/>
      </c>
      <c r="L72" s="32">
        <f>[1]Modeler!N72</f>
        <v>0</v>
      </c>
      <c r="M72" s="29">
        <f>[1]Modeler!O72</f>
        <v>0</v>
      </c>
      <c r="N72" s="34">
        <f>[1]Modeler!P72</f>
        <v>0</v>
      </c>
      <c r="O72" s="32">
        <f>[1]Modeler!Q72</f>
        <v>0</v>
      </c>
      <c r="P72" s="29">
        <f>[1]Modeler!R72</f>
        <v>0</v>
      </c>
      <c r="Q72" s="34">
        <f>[1]Modeler!S72</f>
        <v>0</v>
      </c>
      <c r="R72" s="29">
        <f>[1]Modeler!T72</f>
        <v>0</v>
      </c>
      <c r="S72" s="29">
        <f>[1]Modeler!U72</f>
        <v>0</v>
      </c>
      <c r="T72" s="32">
        <f>[1]Modeler!V72</f>
        <v>0</v>
      </c>
      <c r="U72" s="29">
        <f>[1]Modeler!W72</f>
        <v>0</v>
      </c>
      <c r="V72" s="29">
        <f>[1]Modeler!X72</f>
        <v>0</v>
      </c>
      <c r="W72" s="32">
        <f>[1]Modeler!Y72</f>
        <v>0</v>
      </c>
      <c r="X72" s="29">
        <f>[1]Modeler!Z72</f>
        <v>0</v>
      </c>
      <c r="Y72" s="29">
        <f>[1]Modeler!AA72</f>
        <v>0</v>
      </c>
      <c r="Z72" s="32">
        <f>[1]Modeler!AB72</f>
        <v>0</v>
      </c>
      <c r="AA72" s="29">
        <f>[1]Modeler!AC72</f>
        <v>0</v>
      </c>
      <c r="AB72" s="29">
        <f>[1]Modeler!AD72</f>
        <v>0</v>
      </c>
      <c r="AC72" s="32">
        <f>[1]Modeler!AE72</f>
        <v>0</v>
      </c>
      <c r="AD72" s="29">
        <f>[1]Modeler!AF72</f>
        <v>0</v>
      </c>
      <c r="AE72" s="34">
        <f>[1]Modeler!AG72</f>
        <v>0</v>
      </c>
    </row>
    <row r="73" spans="1:31" x14ac:dyDescent="0.2">
      <c r="A73" s="29">
        <f>[1]Modeler!A73</f>
        <v>0</v>
      </c>
      <c r="B73" s="29">
        <f>[1]Modeler!B73</f>
        <v>0</v>
      </c>
      <c r="C73" s="29">
        <f>[1]Modeler!C73</f>
        <v>0</v>
      </c>
      <c r="D73" s="37">
        <f>[1]Modeler!D73</f>
        <v>0</v>
      </c>
      <c r="E73" s="29" t="str">
        <f>[1]Modeler!F73</f>
        <v/>
      </c>
      <c r="F73" s="29" t="str">
        <f>[1]Modeler!G73</f>
        <v/>
      </c>
      <c r="G73" s="32">
        <f>[1]Modeler!H73</f>
        <v>0</v>
      </c>
      <c r="H73" s="29">
        <f>[1]Modeler!J73</f>
        <v>0</v>
      </c>
      <c r="I73" s="29">
        <f>[1]Modeler!K73</f>
        <v>0</v>
      </c>
      <c r="J73" s="29">
        <f>[1]Modeler!L73</f>
        <v>0</v>
      </c>
      <c r="K73" s="29" t="str">
        <f>[1]Modeler!M73</f>
        <v/>
      </c>
      <c r="L73" s="32">
        <f>[1]Modeler!N73</f>
        <v>0</v>
      </c>
      <c r="M73" s="29">
        <f>[1]Modeler!O73</f>
        <v>0</v>
      </c>
      <c r="N73" s="34">
        <f>[1]Modeler!P73</f>
        <v>0</v>
      </c>
      <c r="O73" s="32">
        <f>[1]Modeler!Q73</f>
        <v>0</v>
      </c>
      <c r="P73" s="29">
        <f>[1]Modeler!R73</f>
        <v>0</v>
      </c>
      <c r="Q73" s="34">
        <f>[1]Modeler!S73</f>
        <v>0</v>
      </c>
      <c r="R73" s="29">
        <f>[1]Modeler!T73</f>
        <v>0</v>
      </c>
      <c r="S73" s="29">
        <f>[1]Modeler!U73</f>
        <v>0</v>
      </c>
      <c r="T73" s="32">
        <f>[1]Modeler!V73</f>
        <v>0</v>
      </c>
      <c r="U73" s="29">
        <f>[1]Modeler!W73</f>
        <v>0</v>
      </c>
      <c r="V73" s="29">
        <f>[1]Modeler!X73</f>
        <v>0</v>
      </c>
      <c r="W73" s="32">
        <f>[1]Modeler!Y73</f>
        <v>0</v>
      </c>
      <c r="X73" s="29">
        <f>[1]Modeler!Z73</f>
        <v>0</v>
      </c>
      <c r="Y73" s="29">
        <f>[1]Modeler!AA73</f>
        <v>0</v>
      </c>
      <c r="Z73" s="32">
        <f>[1]Modeler!AB73</f>
        <v>0</v>
      </c>
      <c r="AA73" s="29">
        <f>[1]Modeler!AC73</f>
        <v>0</v>
      </c>
      <c r="AB73" s="29">
        <f>[1]Modeler!AD73</f>
        <v>0</v>
      </c>
      <c r="AC73" s="32">
        <f>[1]Modeler!AE73</f>
        <v>0</v>
      </c>
      <c r="AD73" s="29">
        <f>[1]Modeler!AF73</f>
        <v>0</v>
      </c>
      <c r="AE73" s="34">
        <f>[1]Modeler!AG73</f>
        <v>0</v>
      </c>
    </row>
    <row r="74" spans="1:31" x14ac:dyDescent="0.2">
      <c r="A74" s="29">
        <f>[1]Modeler!A74</f>
        <v>0</v>
      </c>
      <c r="B74" s="29">
        <f>[1]Modeler!B74</f>
        <v>0</v>
      </c>
      <c r="C74" s="29">
        <f>[1]Modeler!C74</f>
        <v>0</v>
      </c>
      <c r="D74" s="37">
        <f>[1]Modeler!D74</f>
        <v>0</v>
      </c>
      <c r="E74" s="29" t="str">
        <f>[1]Modeler!F74</f>
        <v/>
      </c>
      <c r="F74" s="29" t="str">
        <f>[1]Modeler!G74</f>
        <v/>
      </c>
      <c r="G74" s="32">
        <f>[1]Modeler!H74</f>
        <v>0</v>
      </c>
      <c r="H74" s="29">
        <f>[1]Modeler!J74</f>
        <v>0</v>
      </c>
      <c r="I74" s="29">
        <f>[1]Modeler!K74</f>
        <v>0</v>
      </c>
      <c r="J74" s="29">
        <f>[1]Modeler!L74</f>
        <v>0</v>
      </c>
      <c r="K74" s="29" t="str">
        <f>[1]Modeler!M74</f>
        <v/>
      </c>
      <c r="L74" s="32">
        <f>[1]Modeler!N74</f>
        <v>0</v>
      </c>
      <c r="M74" s="29">
        <f>[1]Modeler!O74</f>
        <v>0</v>
      </c>
      <c r="N74" s="34">
        <f>[1]Modeler!P74</f>
        <v>0</v>
      </c>
      <c r="O74" s="32">
        <f>[1]Modeler!Q74</f>
        <v>0</v>
      </c>
      <c r="P74" s="29">
        <f>[1]Modeler!R74</f>
        <v>0</v>
      </c>
      <c r="Q74" s="34">
        <f>[1]Modeler!S74</f>
        <v>0</v>
      </c>
      <c r="R74" s="29">
        <f>[1]Modeler!T74</f>
        <v>0</v>
      </c>
      <c r="S74" s="29">
        <f>[1]Modeler!U74</f>
        <v>0</v>
      </c>
      <c r="T74" s="32">
        <f>[1]Modeler!V74</f>
        <v>0</v>
      </c>
      <c r="U74" s="29">
        <f>[1]Modeler!W74</f>
        <v>0</v>
      </c>
      <c r="V74" s="29">
        <f>[1]Modeler!X74</f>
        <v>0</v>
      </c>
      <c r="W74" s="32">
        <f>[1]Modeler!Y74</f>
        <v>0</v>
      </c>
      <c r="X74" s="29">
        <f>[1]Modeler!Z74</f>
        <v>0</v>
      </c>
      <c r="Y74" s="29">
        <f>[1]Modeler!AA74</f>
        <v>0</v>
      </c>
      <c r="Z74" s="32">
        <f>[1]Modeler!AB74</f>
        <v>0</v>
      </c>
      <c r="AA74" s="29">
        <f>[1]Modeler!AC74</f>
        <v>0</v>
      </c>
      <c r="AB74" s="29">
        <f>[1]Modeler!AD74</f>
        <v>0</v>
      </c>
      <c r="AC74" s="32">
        <f>[1]Modeler!AE74</f>
        <v>0</v>
      </c>
      <c r="AD74" s="29">
        <f>[1]Modeler!AF74</f>
        <v>0</v>
      </c>
      <c r="AE74" s="34">
        <f>[1]Modeler!AG74</f>
        <v>0</v>
      </c>
    </row>
    <row r="75" spans="1:31" x14ac:dyDescent="0.2">
      <c r="A75" s="29">
        <f>[1]Modeler!A75</f>
        <v>0</v>
      </c>
      <c r="B75" s="29">
        <f>[1]Modeler!B75</f>
        <v>0</v>
      </c>
      <c r="C75" s="29" t="str">
        <f>[1]Modeler!C75</f>
        <v>CYMRIC 1MW ORC</v>
      </c>
      <c r="D75" s="37">
        <f>[1]Modeler!D75</f>
        <v>44896</v>
      </c>
      <c r="E75" s="29">
        <f>[1]Modeler!F75</f>
        <v>427</v>
      </c>
      <c r="F75" s="29" t="str">
        <f>[1]Modeler!G75</f>
        <v/>
      </c>
      <c r="G75" s="32">
        <f>[1]Modeler!H75</f>
        <v>0</v>
      </c>
      <c r="H75" s="29">
        <f>[1]Modeler!J75</f>
        <v>0</v>
      </c>
      <c r="I75" s="29">
        <f>[1]Modeler!K75</f>
        <v>0</v>
      </c>
      <c r="J75" s="29">
        <f>[1]Modeler!L75</f>
        <v>0</v>
      </c>
      <c r="K75" s="29" t="str">
        <f>[1]Modeler!M75</f>
        <v/>
      </c>
      <c r="L75" s="32">
        <f>[1]Modeler!N75</f>
        <v>0</v>
      </c>
      <c r="M75" s="29">
        <f>[1]Modeler!O75</f>
        <v>0</v>
      </c>
      <c r="N75" s="34">
        <f>[1]Modeler!P75</f>
        <v>0</v>
      </c>
      <c r="O75" s="32">
        <f>[1]Modeler!Q75</f>
        <v>0</v>
      </c>
      <c r="P75" s="29">
        <f>[1]Modeler!R75</f>
        <v>0</v>
      </c>
      <c r="Q75" s="34">
        <f>[1]Modeler!S75</f>
        <v>0</v>
      </c>
      <c r="R75" s="29">
        <f>[1]Modeler!T75</f>
        <v>0</v>
      </c>
      <c r="S75" s="29">
        <f>[1]Modeler!U75</f>
        <v>0</v>
      </c>
      <c r="T75" s="32">
        <f>[1]Modeler!V75</f>
        <v>0</v>
      </c>
      <c r="U75" s="29">
        <f>[1]Modeler!W75</f>
        <v>0</v>
      </c>
      <c r="V75" s="29">
        <f>[1]Modeler!X75</f>
        <v>0</v>
      </c>
      <c r="W75" s="32">
        <f>[1]Modeler!Y75</f>
        <v>0</v>
      </c>
      <c r="X75" s="29">
        <f>[1]Modeler!Z75</f>
        <v>0</v>
      </c>
      <c r="Y75" s="29">
        <f>[1]Modeler!AA75</f>
        <v>0</v>
      </c>
      <c r="Z75" s="32">
        <f>[1]Modeler!AB75</f>
        <v>0</v>
      </c>
      <c r="AA75" s="29">
        <f>[1]Modeler!AC75</f>
        <v>0</v>
      </c>
      <c r="AB75" s="29">
        <f>[1]Modeler!AD75</f>
        <v>0</v>
      </c>
      <c r="AC75" s="32">
        <f>[1]Modeler!AE75</f>
        <v>0</v>
      </c>
      <c r="AD75" s="29">
        <f>[1]Modeler!AF75</f>
        <v>0</v>
      </c>
      <c r="AE75" s="34">
        <f>[1]Modeler!AG75</f>
        <v>0</v>
      </c>
    </row>
    <row r="76" spans="1:31" x14ac:dyDescent="0.2">
      <c r="A76" s="29">
        <f>[1]Modeler!A76</f>
        <v>0</v>
      </c>
      <c r="B76" s="29">
        <f>[1]Modeler!B76</f>
        <v>0</v>
      </c>
      <c r="C76" s="29" t="str">
        <f>[1]Modeler!C76</f>
        <v>Acquisition</v>
      </c>
      <c r="D76" s="37">
        <f>[1]Modeler!D76</f>
        <v>44896</v>
      </c>
      <c r="E76" s="29">
        <f>[1]Modeler!F76</f>
        <v>31</v>
      </c>
      <c r="F76" s="29" t="str">
        <f>[1]Modeler!G76</f>
        <v/>
      </c>
      <c r="G76" s="32">
        <f>[1]Modeler!H76</f>
        <v>0</v>
      </c>
      <c r="H76" s="29">
        <f>[1]Modeler!J76</f>
        <v>0</v>
      </c>
      <c r="I76" s="29">
        <f>[1]Modeler!K76</f>
        <v>0</v>
      </c>
      <c r="J76" s="29">
        <f>[1]Modeler!L76</f>
        <v>0</v>
      </c>
      <c r="K76" s="29" t="str">
        <f>[1]Modeler!M76</f>
        <v/>
      </c>
      <c r="L76" s="32">
        <f>[1]Modeler!N76</f>
        <v>0</v>
      </c>
      <c r="M76" s="29">
        <f>[1]Modeler!O76</f>
        <v>0</v>
      </c>
      <c r="N76" s="34">
        <f>[1]Modeler!P76</f>
        <v>0</v>
      </c>
      <c r="O76" s="32">
        <f>[1]Modeler!Q76</f>
        <v>0</v>
      </c>
      <c r="P76" s="29">
        <f>[1]Modeler!R76</f>
        <v>0</v>
      </c>
      <c r="Q76" s="34">
        <f>[1]Modeler!S76</f>
        <v>0</v>
      </c>
      <c r="R76" s="29">
        <f>[1]Modeler!T76</f>
        <v>0</v>
      </c>
      <c r="S76" s="29">
        <f>[1]Modeler!U76</f>
        <v>0</v>
      </c>
      <c r="T76" s="32">
        <f>[1]Modeler!V76</f>
        <v>0</v>
      </c>
      <c r="U76" s="29">
        <f>[1]Modeler!W76</f>
        <v>0</v>
      </c>
      <c r="V76" s="29">
        <f>[1]Modeler!X76</f>
        <v>0</v>
      </c>
      <c r="W76" s="32">
        <f>[1]Modeler!Y76</f>
        <v>0</v>
      </c>
      <c r="X76" s="29">
        <f>[1]Modeler!Z76</f>
        <v>0</v>
      </c>
      <c r="Y76" s="29">
        <f>[1]Modeler!AA76</f>
        <v>0</v>
      </c>
      <c r="Z76" s="32">
        <f>[1]Modeler!AB76</f>
        <v>0</v>
      </c>
      <c r="AA76" s="29">
        <f>[1]Modeler!AC76</f>
        <v>0</v>
      </c>
      <c r="AB76" s="29">
        <f>[1]Modeler!AD76</f>
        <v>0</v>
      </c>
      <c r="AC76" s="32">
        <f>[1]Modeler!AE76</f>
        <v>0</v>
      </c>
      <c r="AD76" s="29">
        <f>[1]Modeler!AF76</f>
        <v>0</v>
      </c>
      <c r="AE76" s="34">
        <f>[1]Modeler!AG76</f>
        <v>0</v>
      </c>
    </row>
    <row r="77" spans="1:31" x14ac:dyDescent="0.2">
      <c r="A77" s="29">
        <f>[1]Modeler!A77</f>
        <v>0</v>
      </c>
      <c r="B77" s="29">
        <f>[1]Modeler!B77</f>
        <v>0</v>
      </c>
      <c r="C77" s="29" t="str">
        <f>[1]Modeler!C77</f>
        <v>Site Selection/Survey/Permitting</v>
      </c>
      <c r="D77" s="37">
        <f>[1]Modeler!D77</f>
        <v>44927</v>
      </c>
      <c r="E77" s="29">
        <f>[1]Modeler!F77</f>
        <v>31</v>
      </c>
      <c r="F77" s="29" t="str">
        <f>[1]Modeler!G77</f>
        <v/>
      </c>
      <c r="G77" s="32">
        <f>[1]Modeler!H77</f>
        <v>0</v>
      </c>
      <c r="H77" s="29">
        <f>[1]Modeler!J77</f>
        <v>0</v>
      </c>
      <c r="I77" s="29">
        <f>[1]Modeler!K77</f>
        <v>0</v>
      </c>
      <c r="J77" s="29">
        <f>[1]Modeler!L77</f>
        <v>0</v>
      </c>
      <c r="K77" s="29" t="str">
        <f>[1]Modeler!M77</f>
        <v/>
      </c>
      <c r="L77" s="32">
        <f>[1]Modeler!N77</f>
        <v>0</v>
      </c>
      <c r="M77" s="29">
        <f>[1]Modeler!O77</f>
        <v>0</v>
      </c>
      <c r="N77" s="34">
        <f>[1]Modeler!P77</f>
        <v>0</v>
      </c>
      <c r="O77" s="32">
        <f>[1]Modeler!Q77</f>
        <v>0</v>
      </c>
      <c r="P77" s="29">
        <f>[1]Modeler!R77</f>
        <v>0</v>
      </c>
      <c r="Q77" s="34">
        <f>[1]Modeler!S77</f>
        <v>0</v>
      </c>
      <c r="R77" s="29">
        <f>[1]Modeler!T77</f>
        <v>0</v>
      </c>
      <c r="S77" s="29">
        <f>[1]Modeler!U77</f>
        <v>0</v>
      </c>
      <c r="T77" s="32">
        <f>[1]Modeler!V77</f>
        <v>0</v>
      </c>
      <c r="U77" s="29">
        <f>[1]Modeler!W77</f>
        <v>0</v>
      </c>
      <c r="V77" s="29">
        <f>[1]Modeler!X77</f>
        <v>0</v>
      </c>
      <c r="W77" s="32">
        <f>[1]Modeler!Y77</f>
        <v>0</v>
      </c>
      <c r="X77" s="29">
        <f>[1]Modeler!Z77</f>
        <v>0</v>
      </c>
      <c r="Y77" s="29">
        <f>[1]Modeler!AA77</f>
        <v>0</v>
      </c>
      <c r="Z77" s="32">
        <f>[1]Modeler!AB77</f>
        <v>0</v>
      </c>
      <c r="AA77" s="29">
        <f>[1]Modeler!AC77</f>
        <v>0</v>
      </c>
      <c r="AB77" s="29">
        <f>[1]Modeler!AD77</f>
        <v>0</v>
      </c>
      <c r="AC77" s="32">
        <f>[1]Modeler!AE77</f>
        <v>0</v>
      </c>
      <c r="AD77" s="29">
        <f>[1]Modeler!AF77</f>
        <v>0</v>
      </c>
      <c r="AE77" s="34">
        <f>[1]Modeler!AG77</f>
        <v>0</v>
      </c>
    </row>
    <row r="78" spans="1:31" x14ac:dyDescent="0.2">
      <c r="A78" s="29">
        <f>[1]Modeler!A78</f>
        <v>0</v>
      </c>
      <c r="B78" s="29">
        <f>[1]Modeler!B78</f>
        <v>0</v>
      </c>
      <c r="C78" s="29" t="str">
        <f>[1]Modeler!C78</f>
        <v>Construct Pad and Civil Works</v>
      </c>
      <c r="D78" s="37">
        <f>[1]Modeler!D78</f>
        <v>44958</v>
      </c>
      <c r="E78" s="29">
        <f>[1]Modeler!F78</f>
        <v>59</v>
      </c>
      <c r="F78" s="29" t="str">
        <f>[1]Modeler!G78</f>
        <v/>
      </c>
      <c r="G78" s="32">
        <f>[1]Modeler!H78</f>
        <v>0</v>
      </c>
      <c r="H78" s="29">
        <f>[1]Modeler!J78</f>
        <v>0</v>
      </c>
      <c r="I78" s="29">
        <f>[1]Modeler!K78</f>
        <v>0</v>
      </c>
      <c r="J78" s="29">
        <f>[1]Modeler!L78</f>
        <v>0</v>
      </c>
      <c r="K78" s="29" t="str">
        <f>[1]Modeler!M78</f>
        <v/>
      </c>
      <c r="L78" s="32">
        <f>[1]Modeler!N78</f>
        <v>0</v>
      </c>
      <c r="M78" s="29">
        <f>[1]Modeler!O78</f>
        <v>0</v>
      </c>
      <c r="N78" s="34">
        <f>[1]Modeler!P78</f>
        <v>0</v>
      </c>
      <c r="O78" s="32">
        <f>[1]Modeler!Q78</f>
        <v>0</v>
      </c>
      <c r="P78" s="29">
        <f>[1]Modeler!R78</f>
        <v>0</v>
      </c>
      <c r="Q78" s="34">
        <f>[1]Modeler!S78</f>
        <v>0</v>
      </c>
      <c r="R78" s="29">
        <f>[1]Modeler!T78</f>
        <v>0</v>
      </c>
      <c r="S78" s="29">
        <f>[1]Modeler!U78</f>
        <v>0</v>
      </c>
      <c r="T78" s="32">
        <f>[1]Modeler!V78</f>
        <v>0</v>
      </c>
      <c r="U78" s="29">
        <f>[1]Modeler!W78</f>
        <v>0</v>
      </c>
      <c r="V78" s="29">
        <f>[1]Modeler!X78</f>
        <v>0</v>
      </c>
      <c r="W78" s="32">
        <f>[1]Modeler!Y78</f>
        <v>0</v>
      </c>
      <c r="X78" s="29">
        <f>[1]Modeler!Z78</f>
        <v>0</v>
      </c>
      <c r="Y78" s="29">
        <f>[1]Modeler!AA78</f>
        <v>0</v>
      </c>
      <c r="Z78" s="32">
        <f>[1]Modeler!AB78</f>
        <v>0</v>
      </c>
      <c r="AA78" s="29">
        <f>[1]Modeler!AC78</f>
        <v>0</v>
      </c>
      <c r="AB78" s="29">
        <f>[1]Modeler!AD78</f>
        <v>0</v>
      </c>
      <c r="AC78" s="32">
        <f>[1]Modeler!AE78</f>
        <v>0</v>
      </c>
      <c r="AD78" s="29">
        <f>[1]Modeler!AF78</f>
        <v>0</v>
      </c>
      <c r="AE78" s="34">
        <f>[1]Modeler!AG78</f>
        <v>0</v>
      </c>
    </row>
    <row r="79" spans="1:31" x14ac:dyDescent="0.2">
      <c r="A79" s="29">
        <f>[1]Modeler!A79</f>
        <v>0</v>
      </c>
      <c r="B79" s="29">
        <f>[1]Modeler!B79</f>
        <v>0</v>
      </c>
      <c r="C79" s="29" t="str">
        <f>[1]Modeler!C79</f>
        <v>Installation, Repairs &amp; Refurbishment</v>
      </c>
      <c r="D79" s="37">
        <f>[1]Modeler!D79</f>
        <v>44986</v>
      </c>
      <c r="E79" s="29">
        <f>[1]Modeler!F79</f>
        <v>122</v>
      </c>
      <c r="F79" s="29" t="str">
        <f>[1]Modeler!G79</f>
        <v/>
      </c>
      <c r="G79" s="32">
        <f>[1]Modeler!H79</f>
        <v>0</v>
      </c>
      <c r="H79" s="29">
        <f>[1]Modeler!J79</f>
        <v>0</v>
      </c>
      <c r="I79" s="29">
        <f>[1]Modeler!K79</f>
        <v>0</v>
      </c>
      <c r="J79" s="29">
        <f>[1]Modeler!L79</f>
        <v>0</v>
      </c>
      <c r="K79" s="29" t="str">
        <f>[1]Modeler!M79</f>
        <v/>
      </c>
      <c r="L79" s="32">
        <f>[1]Modeler!N79</f>
        <v>0</v>
      </c>
      <c r="M79" s="29">
        <f>[1]Modeler!O79</f>
        <v>0</v>
      </c>
      <c r="N79" s="34">
        <f>[1]Modeler!P79</f>
        <v>0</v>
      </c>
      <c r="O79" s="32">
        <f>[1]Modeler!Q79</f>
        <v>0</v>
      </c>
      <c r="P79" s="29">
        <f>[1]Modeler!R79</f>
        <v>0</v>
      </c>
      <c r="Q79" s="34">
        <f>[1]Modeler!S79</f>
        <v>0</v>
      </c>
      <c r="R79" s="29">
        <f>[1]Modeler!T79</f>
        <v>0</v>
      </c>
      <c r="S79" s="29">
        <f>[1]Modeler!U79</f>
        <v>0</v>
      </c>
      <c r="T79" s="32">
        <f>[1]Modeler!V79</f>
        <v>0</v>
      </c>
      <c r="U79" s="29">
        <f>[1]Modeler!W79</f>
        <v>0</v>
      </c>
      <c r="V79" s="29">
        <f>[1]Modeler!X79</f>
        <v>0</v>
      </c>
      <c r="W79" s="32">
        <f>[1]Modeler!Y79</f>
        <v>0</v>
      </c>
      <c r="X79" s="29">
        <f>[1]Modeler!Z79</f>
        <v>0</v>
      </c>
      <c r="Y79" s="29">
        <f>[1]Modeler!AA79</f>
        <v>0</v>
      </c>
      <c r="Z79" s="32">
        <f>[1]Modeler!AB79</f>
        <v>0</v>
      </c>
      <c r="AA79" s="29">
        <f>[1]Modeler!AC79</f>
        <v>0</v>
      </c>
      <c r="AB79" s="29">
        <f>[1]Modeler!AD79</f>
        <v>0</v>
      </c>
      <c r="AC79" s="32">
        <f>[1]Modeler!AE79</f>
        <v>0</v>
      </c>
      <c r="AD79" s="29">
        <f>[1]Modeler!AF79</f>
        <v>0</v>
      </c>
      <c r="AE79" s="34">
        <f>[1]Modeler!AG79</f>
        <v>0</v>
      </c>
    </row>
    <row r="80" spans="1:31" x14ac:dyDescent="0.2">
      <c r="A80" s="29">
        <f>[1]Modeler!A80</f>
        <v>0</v>
      </c>
      <c r="B80" s="29">
        <f>[1]Modeler!B80</f>
        <v>0</v>
      </c>
      <c r="C80" s="29" t="str">
        <f>[1]Modeler!C80</f>
        <v>Testing &amp; Commissioning</v>
      </c>
      <c r="D80" s="37">
        <f>[1]Modeler!D80</f>
        <v>45231</v>
      </c>
      <c r="E80" s="29">
        <f>[1]Modeler!F80</f>
        <v>61</v>
      </c>
      <c r="F80" s="29" t="str">
        <f>[1]Modeler!G80</f>
        <v/>
      </c>
      <c r="G80" s="32">
        <f>[1]Modeler!H80</f>
        <v>0</v>
      </c>
      <c r="H80" s="29">
        <f>[1]Modeler!J80</f>
        <v>0</v>
      </c>
      <c r="I80" s="29">
        <f>[1]Modeler!K80</f>
        <v>0</v>
      </c>
      <c r="J80" s="29">
        <f>[1]Modeler!L80</f>
        <v>0</v>
      </c>
      <c r="K80" s="29" t="str">
        <f>[1]Modeler!M80</f>
        <v/>
      </c>
      <c r="L80" s="32">
        <f>[1]Modeler!N80</f>
        <v>0</v>
      </c>
      <c r="M80" s="29">
        <f>[1]Modeler!O80</f>
        <v>0</v>
      </c>
      <c r="N80" s="34">
        <f>[1]Modeler!P80</f>
        <v>0</v>
      </c>
      <c r="O80" s="32">
        <f>[1]Modeler!Q80</f>
        <v>0</v>
      </c>
      <c r="P80" s="29">
        <f>[1]Modeler!R80</f>
        <v>0</v>
      </c>
      <c r="Q80" s="34">
        <f>[1]Modeler!S80</f>
        <v>0</v>
      </c>
      <c r="R80" s="29">
        <f>[1]Modeler!T80</f>
        <v>0</v>
      </c>
      <c r="S80" s="29">
        <f>[1]Modeler!U80</f>
        <v>0</v>
      </c>
      <c r="T80" s="32">
        <f>[1]Modeler!V80</f>
        <v>0</v>
      </c>
      <c r="U80" s="29">
        <f>[1]Modeler!W80</f>
        <v>0</v>
      </c>
      <c r="V80" s="29">
        <f>[1]Modeler!X80</f>
        <v>0</v>
      </c>
      <c r="W80" s="32">
        <f>[1]Modeler!Y80</f>
        <v>0</v>
      </c>
      <c r="X80" s="29">
        <f>[1]Modeler!Z80</f>
        <v>0</v>
      </c>
      <c r="Y80" s="29">
        <f>[1]Modeler!AA80</f>
        <v>0</v>
      </c>
      <c r="Z80" s="32">
        <f>[1]Modeler!AB80</f>
        <v>0</v>
      </c>
      <c r="AA80" s="29">
        <f>[1]Modeler!AC80</f>
        <v>0</v>
      </c>
      <c r="AB80" s="29">
        <f>[1]Modeler!AD80</f>
        <v>0</v>
      </c>
      <c r="AC80" s="32">
        <f>[1]Modeler!AE80</f>
        <v>0</v>
      </c>
      <c r="AD80" s="29">
        <f>[1]Modeler!AF80</f>
        <v>0</v>
      </c>
      <c r="AE80" s="34">
        <f>[1]Modeler!AG80</f>
        <v>0</v>
      </c>
    </row>
    <row r="81" spans="1:31" x14ac:dyDescent="0.2">
      <c r="A81" s="29">
        <f>[1]Modeler!A81</f>
        <v>0</v>
      </c>
      <c r="B81" s="29">
        <f>[1]Modeler!B81</f>
        <v>0</v>
      </c>
      <c r="C81" s="29" t="str">
        <f>[1]Modeler!C81</f>
        <v>Transmission Design &amp; Integration Plan</v>
      </c>
      <c r="D81" s="37">
        <f>[1]Modeler!D81</f>
        <v>44927</v>
      </c>
      <c r="E81" s="29">
        <f>[1]Modeler!F81</f>
        <v>120</v>
      </c>
      <c r="F81" s="29" t="str">
        <f>[1]Modeler!G81</f>
        <v/>
      </c>
      <c r="G81" s="32">
        <f>[1]Modeler!H81</f>
        <v>0</v>
      </c>
      <c r="H81" s="29">
        <f>[1]Modeler!J81</f>
        <v>0</v>
      </c>
      <c r="I81" s="29">
        <f>[1]Modeler!K81</f>
        <v>0</v>
      </c>
      <c r="J81" s="29">
        <f>[1]Modeler!L81</f>
        <v>0</v>
      </c>
      <c r="K81" s="29" t="str">
        <f>[1]Modeler!M81</f>
        <v/>
      </c>
      <c r="L81" s="32">
        <f>[1]Modeler!N81</f>
        <v>0</v>
      </c>
      <c r="M81" s="29">
        <f>[1]Modeler!O81</f>
        <v>0</v>
      </c>
      <c r="N81" s="34">
        <f>[1]Modeler!P81</f>
        <v>0</v>
      </c>
      <c r="O81" s="32">
        <f>[1]Modeler!Q81</f>
        <v>0</v>
      </c>
      <c r="P81" s="29">
        <f>[1]Modeler!R81</f>
        <v>0</v>
      </c>
      <c r="Q81" s="34">
        <f>[1]Modeler!S81</f>
        <v>0</v>
      </c>
      <c r="R81" s="29">
        <f>[1]Modeler!T81</f>
        <v>0</v>
      </c>
      <c r="S81" s="29">
        <f>[1]Modeler!U81</f>
        <v>0</v>
      </c>
      <c r="T81" s="32">
        <f>[1]Modeler!V81</f>
        <v>0</v>
      </c>
      <c r="U81" s="29">
        <f>[1]Modeler!W81</f>
        <v>0</v>
      </c>
      <c r="V81" s="29">
        <f>[1]Modeler!X81</f>
        <v>0</v>
      </c>
      <c r="W81" s="32">
        <f>[1]Modeler!Y81</f>
        <v>0</v>
      </c>
      <c r="X81" s="29">
        <f>[1]Modeler!Z81</f>
        <v>0</v>
      </c>
      <c r="Y81" s="29">
        <f>[1]Modeler!AA81</f>
        <v>0</v>
      </c>
      <c r="Z81" s="32">
        <f>[1]Modeler!AB81</f>
        <v>0</v>
      </c>
      <c r="AA81" s="29">
        <f>[1]Modeler!AC81</f>
        <v>0</v>
      </c>
      <c r="AB81" s="29">
        <f>[1]Modeler!AD81</f>
        <v>0</v>
      </c>
      <c r="AC81" s="32">
        <f>[1]Modeler!AE81</f>
        <v>0</v>
      </c>
      <c r="AD81" s="29">
        <f>[1]Modeler!AF81</f>
        <v>0</v>
      </c>
      <c r="AE81" s="34">
        <f>[1]Modeler!AG81</f>
        <v>0</v>
      </c>
    </row>
    <row r="82" spans="1:31" x14ac:dyDescent="0.2">
      <c r="A82" s="29">
        <f>[1]Modeler!A82</f>
        <v>0</v>
      </c>
      <c r="B82" s="29">
        <f>[1]Modeler!B82</f>
        <v>0</v>
      </c>
      <c r="C82" s="29" t="str">
        <f>[1]Modeler!C82</f>
        <v>SUA &amp; Damages</v>
      </c>
      <c r="D82" s="37">
        <f>[1]Modeler!D82</f>
        <v>45047</v>
      </c>
      <c r="E82" s="29">
        <f>[1]Modeler!F82</f>
        <v>61</v>
      </c>
      <c r="F82" s="29" t="str">
        <f>[1]Modeler!G82</f>
        <v/>
      </c>
      <c r="G82" s="32">
        <f>[1]Modeler!H82</f>
        <v>0</v>
      </c>
      <c r="H82" s="29">
        <f>[1]Modeler!J82</f>
        <v>0</v>
      </c>
      <c r="I82" s="29">
        <f>[1]Modeler!K82</f>
        <v>0</v>
      </c>
      <c r="J82" s="29">
        <f>[1]Modeler!L82</f>
        <v>0</v>
      </c>
      <c r="K82" s="29" t="str">
        <f>[1]Modeler!M82</f>
        <v/>
      </c>
      <c r="L82" s="32">
        <f>[1]Modeler!N82</f>
        <v>0</v>
      </c>
      <c r="M82" s="29">
        <f>[1]Modeler!O82</f>
        <v>0</v>
      </c>
      <c r="N82" s="34">
        <f>[1]Modeler!P82</f>
        <v>0</v>
      </c>
      <c r="O82" s="32">
        <f>[1]Modeler!Q82</f>
        <v>0</v>
      </c>
      <c r="P82" s="29">
        <f>[1]Modeler!R82</f>
        <v>0</v>
      </c>
      <c r="Q82" s="34">
        <f>[1]Modeler!S82</f>
        <v>0</v>
      </c>
      <c r="R82" s="29">
        <f>[1]Modeler!T82</f>
        <v>0</v>
      </c>
      <c r="S82" s="29">
        <f>[1]Modeler!U82</f>
        <v>0</v>
      </c>
      <c r="T82" s="32">
        <f>[1]Modeler!V82</f>
        <v>0</v>
      </c>
      <c r="U82" s="29">
        <f>[1]Modeler!W82</f>
        <v>0</v>
      </c>
      <c r="V82" s="29">
        <f>[1]Modeler!X82</f>
        <v>0</v>
      </c>
      <c r="W82" s="32">
        <f>[1]Modeler!Y82</f>
        <v>0</v>
      </c>
      <c r="X82" s="29">
        <f>[1]Modeler!Z82</f>
        <v>0</v>
      </c>
      <c r="Y82" s="29">
        <f>[1]Modeler!AA82</f>
        <v>0</v>
      </c>
      <c r="Z82" s="32">
        <f>[1]Modeler!AB82</f>
        <v>0</v>
      </c>
      <c r="AA82" s="29">
        <f>[1]Modeler!AC82</f>
        <v>0</v>
      </c>
      <c r="AB82" s="29">
        <f>[1]Modeler!AD82</f>
        <v>0</v>
      </c>
      <c r="AC82" s="32">
        <f>[1]Modeler!AE82</f>
        <v>0</v>
      </c>
      <c r="AD82" s="29">
        <f>[1]Modeler!AF82</f>
        <v>0</v>
      </c>
      <c r="AE82" s="34">
        <f>[1]Modeler!AG82</f>
        <v>0</v>
      </c>
    </row>
    <row r="83" spans="1:31" x14ac:dyDescent="0.2">
      <c r="A83" s="29">
        <f>[1]Modeler!A83</f>
        <v>0</v>
      </c>
      <c r="B83" s="29">
        <f>[1]Modeler!B83</f>
        <v>0</v>
      </c>
      <c r="C83" s="29" t="str">
        <f>[1]Modeler!C83</f>
        <v>Transmission Line Construction</v>
      </c>
      <c r="D83" s="37">
        <f>[1]Modeler!D83</f>
        <v>45078</v>
      </c>
      <c r="E83" s="29">
        <f>[1]Modeler!F83</f>
        <v>92</v>
      </c>
      <c r="F83" s="29" t="str">
        <f>[1]Modeler!G83</f>
        <v/>
      </c>
      <c r="G83" s="32">
        <f>[1]Modeler!H83</f>
        <v>0</v>
      </c>
      <c r="H83" s="29">
        <f>[1]Modeler!J83</f>
        <v>0</v>
      </c>
      <c r="I83" s="29">
        <f>[1]Modeler!K83</f>
        <v>0</v>
      </c>
      <c r="J83" s="29">
        <f>[1]Modeler!L83</f>
        <v>0</v>
      </c>
      <c r="K83" s="29" t="str">
        <f>[1]Modeler!M83</f>
        <v/>
      </c>
      <c r="L83" s="32">
        <f>[1]Modeler!N83</f>
        <v>0</v>
      </c>
      <c r="M83" s="29">
        <f>[1]Modeler!O83</f>
        <v>0</v>
      </c>
      <c r="N83" s="34">
        <f>[1]Modeler!P83</f>
        <v>0</v>
      </c>
      <c r="O83" s="32">
        <f>[1]Modeler!Q83</f>
        <v>0</v>
      </c>
      <c r="P83" s="29">
        <f>[1]Modeler!R83</f>
        <v>0</v>
      </c>
      <c r="Q83" s="34">
        <f>[1]Modeler!S83</f>
        <v>0</v>
      </c>
      <c r="R83" s="29">
        <f>[1]Modeler!T83</f>
        <v>0</v>
      </c>
      <c r="S83" s="29">
        <f>[1]Modeler!U83</f>
        <v>0</v>
      </c>
      <c r="T83" s="32">
        <f>[1]Modeler!V83</f>
        <v>0</v>
      </c>
      <c r="U83" s="29">
        <f>[1]Modeler!W83</f>
        <v>0</v>
      </c>
      <c r="V83" s="29">
        <f>[1]Modeler!X83</f>
        <v>0</v>
      </c>
      <c r="W83" s="32">
        <f>[1]Modeler!Y83</f>
        <v>0</v>
      </c>
      <c r="X83" s="29">
        <f>[1]Modeler!Z83</f>
        <v>0</v>
      </c>
      <c r="Y83" s="29">
        <f>[1]Modeler!AA83</f>
        <v>0</v>
      </c>
      <c r="Z83" s="32">
        <f>[1]Modeler!AB83</f>
        <v>0</v>
      </c>
      <c r="AA83" s="29">
        <f>[1]Modeler!AC83</f>
        <v>0</v>
      </c>
      <c r="AB83" s="29">
        <f>[1]Modeler!AD83</f>
        <v>0</v>
      </c>
      <c r="AC83" s="32">
        <f>[1]Modeler!AE83</f>
        <v>0</v>
      </c>
      <c r="AD83" s="29">
        <f>[1]Modeler!AF83</f>
        <v>0</v>
      </c>
      <c r="AE83" s="34">
        <f>[1]Modeler!AG83</f>
        <v>0</v>
      </c>
    </row>
    <row r="84" spans="1:31" x14ac:dyDescent="0.2">
      <c r="A84" s="29">
        <f>[1]Modeler!A84</f>
        <v>0</v>
      </c>
      <c r="B84" s="29">
        <f>[1]Modeler!B84</f>
        <v>0</v>
      </c>
      <c r="C84" s="29" t="str">
        <f>[1]Modeler!C84</f>
        <v>Connection/Integration</v>
      </c>
      <c r="D84" s="37">
        <f>[1]Modeler!D84</f>
        <v>45170</v>
      </c>
      <c r="E84" s="29">
        <f>[1]Modeler!F84</f>
        <v>61</v>
      </c>
      <c r="F84" s="29" t="str">
        <f>[1]Modeler!G84</f>
        <v/>
      </c>
      <c r="G84" s="32">
        <f>[1]Modeler!H84</f>
        <v>0</v>
      </c>
      <c r="H84" s="29">
        <f>[1]Modeler!J84</f>
        <v>0</v>
      </c>
      <c r="I84" s="29">
        <f>[1]Modeler!K84</f>
        <v>0</v>
      </c>
      <c r="J84" s="29">
        <f>[1]Modeler!L84</f>
        <v>0</v>
      </c>
      <c r="K84" s="29" t="str">
        <f>[1]Modeler!M84</f>
        <v/>
      </c>
      <c r="L84" s="32">
        <f>[1]Modeler!N84</f>
        <v>0</v>
      </c>
      <c r="M84" s="29">
        <f>[1]Modeler!O84</f>
        <v>0</v>
      </c>
      <c r="N84" s="34">
        <f>[1]Modeler!P84</f>
        <v>0</v>
      </c>
      <c r="O84" s="32">
        <f>[1]Modeler!Q84</f>
        <v>0</v>
      </c>
      <c r="P84" s="29">
        <f>[1]Modeler!R84</f>
        <v>0</v>
      </c>
      <c r="Q84" s="34">
        <f>[1]Modeler!S84</f>
        <v>0</v>
      </c>
      <c r="R84" s="29">
        <f>[1]Modeler!T84</f>
        <v>0</v>
      </c>
      <c r="S84" s="29">
        <f>[1]Modeler!U84</f>
        <v>0</v>
      </c>
      <c r="T84" s="32">
        <f>[1]Modeler!V84</f>
        <v>0</v>
      </c>
      <c r="U84" s="29">
        <f>[1]Modeler!W84</f>
        <v>0</v>
      </c>
      <c r="V84" s="29">
        <f>[1]Modeler!X84</f>
        <v>0</v>
      </c>
      <c r="W84" s="32">
        <f>[1]Modeler!Y84</f>
        <v>0</v>
      </c>
      <c r="X84" s="29">
        <f>[1]Modeler!Z84</f>
        <v>0</v>
      </c>
      <c r="Y84" s="29">
        <f>[1]Modeler!AA84</f>
        <v>0</v>
      </c>
      <c r="Z84" s="32">
        <f>[1]Modeler!AB84</f>
        <v>0</v>
      </c>
      <c r="AA84" s="29">
        <f>[1]Modeler!AC84</f>
        <v>0</v>
      </c>
      <c r="AB84" s="29">
        <f>[1]Modeler!AD84</f>
        <v>0</v>
      </c>
      <c r="AC84" s="32">
        <f>[1]Modeler!AE84</f>
        <v>0</v>
      </c>
      <c r="AD84" s="29">
        <f>[1]Modeler!AF84</f>
        <v>0</v>
      </c>
      <c r="AE84" s="34">
        <f>[1]Modeler!AG84</f>
        <v>0</v>
      </c>
    </row>
    <row r="85" spans="1:31" x14ac:dyDescent="0.2">
      <c r="A85" s="29">
        <f>[1]Modeler!A85</f>
        <v>0</v>
      </c>
      <c r="B85" s="29">
        <f>[1]Modeler!B85</f>
        <v>0</v>
      </c>
      <c r="C85" s="29" t="str">
        <f>[1]Modeler!C85</f>
        <v>Power Delivery &amp; Sales</v>
      </c>
      <c r="D85" s="37">
        <f>[1]Modeler!D85</f>
        <v>45261</v>
      </c>
      <c r="E85" s="29">
        <f>[1]Modeler!F85</f>
        <v>62</v>
      </c>
      <c r="F85" s="29" t="str">
        <f>[1]Modeler!G85</f>
        <v/>
      </c>
      <c r="G85" s="32">
        <f>[1]Modeler!H85</f>
        <v>0</v>
      </c>
      <c r="H85" s="29">
        <f>[1]Modeler!J85</f>
        <v>0</v>
      </c>
      <c r="I85" s="29">
        <f>[1]Modeler!K85</f>
        <v>0</v>
      </c>
      <c r="J85" s="29">
        <f>[1]Modeler!L85</f>
        <v>0</v>
      </c>
      <c r="K85" s="29" t="str">
        <f>[1]Modeler!M85</f>
        <v/>
      </c>
      <c r="L85" s="32">
        <f>[1]Modeler!N85</f>
        <v>0</v>
      </c>
      <c r="M85" s="29">
        <f>[1]Modeler!O85</f>
        <v>0</v>
      </c>
      <c r="N85" s="34">
        <f>[1]Modeler!P85</f>
        <v>0</v>
      </c>
      <c r="O85" s="32">
        <f>[1]Modeler!Q85</f>
        <v>0</v>
      </c>
      <c r="P85" s="29">
        <f>[1]Modeler!R85</f>
        <v>0</v>
      </c>
      <c r="Q85" s="34">
        <f>[1]Modeler!S85</f>
        <v>0</v>
      </c>
      <c r="R85" s="29">
        <f>[1]Modeler!T85</f>
        <v>0</v>
      </c>
      <c r="S85" s="29">
        <f>[1]Modeler!U85</f>
        <v>0</v>
      </c>
      <c r="T85" s="32">
        <f>[1]Modeler!V85</f>
        <v>0</v>
      </c>
      <c r="U85" s="29">
        <f>[1]Modeler!W85</f>
        <v>0</v>
      </c>
      <c r="V85" s="29">
        <f>[1]Modeler!X85</f>
        <v>0</v>
      </c>
      <c r="W85" s="32">
        <f>[1]Modeler!Y85</f>
        <v>0</v>
      </c>
      <c r="X85" s="29">
        <f>[1]Modeler!Z85</f>
        <v>0</v>
      </c>
      <c r="Y85" s="29">
        <f>[1]Modeler!AA85</f>
        <v>0</v>
      </c>
      <c r="Z85" s="32">
        <f>[1]Modeler!AB85</f>
        <v>0</v>
      </c>
      <c r="AA85" s="29">
        <f>[1]Modeler!AC85</f>
        <v>0</v>
      </c>
      <c r="AB85" s="29">
        <f>[1]Modeler!AD85</f>
        <v>0</v>
      </c>
      <c r="AC85" s="32">
        <f>[1]Modeler!AE85</f>
        <v>0</v>
      </c>
      <c r="AD85" s="29">
        <f>[1]Modeler!AF85</f>
        <v>0</v>
      </c>
      <c r="AE85" s="34">
        <f>[1]Modeler!AG85</f>
        <v>0</v>
      </c>
    </row>
    <row r="86" spans="1:31" x14ac:dyDescent="0.2">
      <c r="A86" s="29">
        <f>[1]Modeler!A86</f>
        <v>0</v>
      </c>
      <c r="B86" s="29">
        <f>[1]Modeler!B86</f>
        <v>0</v>
      </c>
      <c r="C86" s="29">
        <f>[1]Modeler!C86</f>
        <v>0</v>
      </c>
      <c r="D86" s="37">
        <f>[1]Modeler!D86</f>
        <v>0</v>
      </c>
      <c r="E86" s="29" t="str">
        <f>[1]Modeler!F86</f>
        <v/>
      </c>
      <c r="F86" s="29" t="str">
        <f>[1]Modeler!G86</f>
        <v/>
      </c>
      <c r="G86" s="32">
        <f>[1]Modeler!H86</f>
        <v>0</v>
      </c>
      <c r="H86" s="29">
        <f>[1]Modeler!J86</f>
        <v>0</v>
      </c>
      <c r="I86" s="29">
        <f>[1]Modeler!K86</f>
        <v>0</v>
      </c>
      <c r="J86" s="29">
        <f>[1]Modeler!L86</f>
        <v>0</v>
      </c>
      <c r="K86" s="29" t="str">
        <f>[1]Modeler!M86</f>
        <v/>
      </c>
      <c r="L86" s="32">
        <f>[1]Modeler!N86</f>
        <v>0</v>
      </c>
      <c r="M86" s="29">
        <f>[1]Modeler!O86</f>
        <v>0</v>
      </c>
      <c r="N86" s="34">
        <f>[1]Modeler!P86</f>
        <v>0</v>
      </c>
      <c r="O86" s="32">
        <f>[1]Modeler!Q86</f>
        <v>0</v>
      </c>
      <c r="P86" s="29">
        <f>[1]Modeler!R86</f>
        <v>0</v>
      </c>
      <c r="Q86" s="34">
        <f>[1]Modeler!S86</f>
        <v>0</v>
      </c>
      <c r="R86" s="29">
        <f>[1]Modeler!T86</f>
        <v>0</v>
      </c>
      <c r="S86" s="29">
        <f>[1]Modeler!U86</f>
        <v>0</v>
      </c>
      <c r="T86" s="32">
        <f>[1]Modeler!V86</f>
        <v>0</v>
      </c>
      <c r="U86" s="29">
        <f>[1]Modeler!W86</f>
        <v>0</v>
      </c>
      <c r="V86" s="29">
        <f>[1]Modeler!X86</f>
        <v>0</v>
      </c>
      <c r="W86" s="32">
        <f>[1]Modeler!Y86</f>
        <v>0</v>
      </c>
      <c r="X86" s="29">
        <f>[1]Modeler!Z86</f>
        <v>0</v>
      </c>
      <c r="Y86" s="29">
        <f>[1]Modeler!AA86</f>
        <v>0</v>
      </c>
      <c r="Z86" s="32">
        <f>[1]Modeler!AB86</f>
        <v>0</v>
      </c>
      <c r="AA86" s="29">
        <f>[1]Modeler!AC86</f>
        <v>0</v>
      </c>
      <c r="AB86" s="29">
        <f>[1]Modeler!AD86</f>
        <v>0</v>
      </c>
      <c r="AC86" s="32">
        <f>[1]Modeler!AE86</f>
        <v>0</v>
      </c>
      <c r="AD86" s="29">
        <f>[1]Modeler!AF86</f>
        <v>0</v>
      </c>
      <c r="AE86" s="34">
        <f>[1]Modeler!AG86</f>
        <v>0</v>
      </c>
    </row>
    <row r="87" spans="1:31" x14ac:dyDescent="0.2">
      <c r="A87" s="29">
        <f>[1]Modeler!A87</f>
        <v>0</v>
      </c>
      <c r="B87" s="29">
        <f>[1]Modeler!B87</f>
        <v>0</v>
      </c>
      <c r="C87" s="29" t="str">
        <f>[1]Modeler!C87</f>
        <v>PHASE II DEVELOPMENT</v>
      </c>
      <c r="D87" s="37">
        <f>[1]Modeler!D87</f>
        <v>45078</v>
      </c>
      <c r="E87" s="29">
        <f>[1]Modeler!F87</f>
        <v>944</v>
      </c>
      <c r="F87" s="29" t="str">
        <f>[1]Modeler!G87</f>
        <v/>
      </c>
      <c r="G87" s="32">
        <f>[1]Modeler!H87</f>
        <v>0</v>
      </c>
      <c r="H87" s="29">
        <f>[1]Modeler!J87</f>
        <v>0</v>
      </c>
      <c r="I87" s="29">
        <f>[1]Modeler!K87</f>
        <v>0</v>
      </c>
      <c r="J87" s="29">
        <f>[1]Modeler!L87</f>
        <v>0</v>
      </c>
      <c r="K87" s="29" t="str">
        <f>[1]Modeler!M87</f>
        <v/>
      </c>
      <c r="L87" s="32">
        <f>[1]Modeler!N87</f>
        <v>0</v>
      </c>
      <c r="M87" s="29">
        <f>[1]Modeler!O87</f>
        <v>0</v>
      </c>
      <c r="N87" s="34">
        <f>[1]Modeler!P87</f>
        <v>0</v>
      </c>
      <c r="O87" s="32">
        <f>[1]Modeler!Q87</f>
        <v>0</v>
      </c>
      <c r="P87" s="29">
        <f>[1]Modeler!R87</f>
        <v>0</v>
      </c>
      <c r="Q87" s="34">
        <f>[1]Modeler!S87</f>
        <v>0</v>
      </c>
      <c r="R87" s="29">
        <f>[1]Modeler!T87</f>
        <v>0</v>
      </c>
      <c r="S87" s="29">
        <f>[1]Modeler!U87</f>
        <v>0</v>
      </c>
      <c r="T87" s="32">
        <f>[1]Modeler!V87</f>
        <v>0</v>
      </c>
      <c r="U87" s="29">
        <f>[1]Modeler!W87</f>
        <v>0</v>
      </c>
      <c r="V87" s="29">
        <f>[1]Modeler!X87</f>
        <v>0</v>
      </c>
      <c r="W87" s="32">
        <f>[1]Modeler!Y87</f>
        <v>0</v>
      </c>
      <c r="X87" s="29">
        <f>[1]Modeler!Z87</f>
        <v>0</v>
      </c>
      <c r="Y87" s="29">
        <f>[1]Modeler!AA87</f>
        <v>0</v>
      </c>
      <c r="Z87" s="32">
        <f>[1]Modeler!AB87</f>
        <v>0</v>
      </c>
      <c r="AA87" s="29">
        <f>[1]Modeler!AC87</f>
        <v>0</v>
      </c>
      <c r="AB87" s="29">
        <f>[1]Modeler!AD87</f>
        <v>0</v>
      </c>
      <c r="AC87" s="32">
        <f>[1]Modeler!AE87</f>
        <v>0</v>
      </c>
      <c r="AD87" s="29">
        <f>[1]Modeler!AF87</f>
        <v>0</v>
      </c>
      <c r="AE87" s="34">
        <f>[1]Modeler!AG87</f>
        <v>0</v>
      </c>
    </row>
    <row r="88" spans="1:31" x14ac:dyDescent="0.2">
      <c r="A88" s="29">
        <f>[1]Modeler!A88</f>
        <v>0</v>
      </c>
      <c r="B88" s="29">
        <f>[1]Modeler!B88</f>
        <v>0</v>
      </c>
      <c r="C88" s="29" t="str">
        <f>[1]Modeler!C88</f>
        <v>OCTG Order</v>
      </c>
      <c r="D88" s="37">
        <f>[1]Modeler!D88</f>
        <v>45200</v>
      </c>
      <c r="E88" s="29">
        <f>[1]Modeler!F88</f>
        <v>31</v>
      </c>
      <c r="F88" s="29" t="str">
        <f>[1]Modeler!G88</f>
        <v/>
      </c>
      <c r="G88" s="32">
        <f>[1]Modeler!H88</f>
        <v>0</v>
      </c>
      <c r="H88" s="29">
        <f>[1]Modeler!J88</f>
        <v>0</v>
      </c>
      <c r="I88" s="29">
        <f>[1]Modeler!K88</f>
        <v>0</v>
      </c>
      <c r="J88" s="29">
        <f>[1]Modeler!L88</f>
        <v>0</v>
      </c>
      <c r="K88" s="29" t="str">
        <f>[1]Modeler!M88</f>
        <v/>
      </c>
      <c r="L88" s="32">
        <f>[1]Modeler!N88</f>
        <v>0</v>
      </c>
      <c r="M88" s="29">
        <f>[1]Modeler!O88</f>
        <v>0</v>
      </c>
      <c r="N88" s="34">
        <f>[1]Modeler!P88</f>
        <v>0</v>
      </c>
      <c r="O88" s="32">
        <f>[1]Modeler!Q88</f>
        <v>0</v>
      </c>
      <c r="P88" s="29">
        <f>[1]Modeler!R88</f>
        <v>0</v>
      </c>
      <c r="Q88" s="34">
        <f>[1]Modeler!S88</f>
        <v>0</v>
      </c>
      <c r="R88" s="29">
        <f>[1]Modeler!T88</f>
        <v>0</v>
      </c>
      <c r="S88" s="29">
        <f>[1]Modeler!U88</f>
        <v>0</v>
      </c>
      <c r="T88" s="32">
        <f>[1]Modeler!V88</f>
        <v>0</v>
      </c>
      <c r="U88" s="29">
        <f>[1]Modeler!W88</f>
        <v>0</v>
      </c>
      <c r="V88" s="29">
        <f>[1]Modeler!X88</f>
        <v>0</v>
      </c>
      <c r="W88" s="32">
        <f>[1]Modeler!Y88</f>
        <v>0</v>
      </c>
      <c r="X88" s="29">
        <f>[1]Modeler!Z88</f>
        <v>0</v>
      </c>
      <c r="Y88" s="29">
        <f>[1]Modeler!AA88</f>
        <v>0</v>
      </c>
      <c r="Z88" s="32">
        <f>[1]Modeler!AB88</f>
        <v>0</v>
      </c>
      <c r="AA88" s="29">
        <f>[1]Modeler!AC88</f>
        <v>0</v>
      </c>
      <c r="AB88" s="29">
        <f>[1]Modeler!AD88</f>
        <v>0</v>
      </c>
      <c r="AC88" s="32">
        <f>[1]Modeler!AE88</f>
        <v>0</v>
      </c>
      <c r="AD88" s="29">
        <f>[1]Modeler!AF88</f>
        <v>0</v>
      </c>
      <c r="AE88" s="34">
        <f>[1]Modeler!AG88</f>
        <v>0</v>
      </c>
    </row>
    <row r="89" spans="1:31" x14ac:dyDescent="0.2">
      <c r="A89" s="29">
        <f>[1]Modeler!A89</f>
        <v>0</v>
      </c>
      <c r="B89" s="29">
        <f>[1]Modeler!B89</f>
        <v>0</v>
      </c>
      <c r="C89" s="29" t="str">
        <f>[1]Modeler!C89</f>
        <v>Wellhead Order</v>
      </c>
      <c r="D89" s="37">
        <f>[1]Modeler!D89</f>
        <v>45200</v>
      </c>
      <c r="E89" s="29">
        <f>[1]Modeler!F89</f>
        <v>31</v>
      </c>
      <c r="F89" s="29" t="str">
        <f>[1]Modeler!G89</f>
        <v/>
      </c>
      <c r="G89" s="32">
        <f>[1]Modeler!H89</f>
        <v>0</v>
      </c>
      <c r="H89" s="29">
        <f>[1]Modeler!J89</f>
        <v>0</v>
      </c>
      <c r="I89" s="29">
        <f>[1]Modeler!K89</f>
        <v>0</v>
      </c>
      <c r="J89" s="29">
        <f>[1]Modeler!L89</f>
        <v>0</v>
      </c>
      <c r="K89" s="29" t="str">
        <f>[1]Modeler!M89</f>
        <v/>
      </c>
      <c r="L89" s="32">
        <f>[1]Modeler!N89</f>
        <v>0</v>
      </c>
      <c r="M89" s="29">
        <f>[1]Modeler!O89</f>
        <v>0</v>
      </c>
      <c r="N89" s="34">
        <f>[1]Modeler!P89</f>
        <v>0</v>
      </c>
      <c r="O89" s="32">
        <f>[1]Modeler!Q89</f>
        <v>0</v>
      </c>
      <c r="P89" s="29">
        <f>[1]Modeler!R89</f>
        <v>0</v>
      </c>
      <c r="Q89" s="34">
        <f>[1]Modeler!S89</f>
        <v>0</v>
      </c>
      <c r="R89" s="29">
        <f>[1]Modeler!T89</f>
        <v>0</v>
      </c>
      <c r="S89" s="29">
        <f>[1]Modeler!U89</f>
        <v>0</v>
      </c>
      <c r="T89" s="32">
        <f>[1]Modeler!V89</f>
        <v>0</v>
      </c>
      <c r="U89" s="29">
        <f>[1]Modeler!W89</f>
        <v>0</v>
      </c>
      <c r="V89" s="29">
        <f>[1]Modeler!X89</f>
        <v>0</v>
      </c>
      <c r="W89" s="32">
        <f>[1]Modeler!Y89</f>
        <v>0</v>
      </c>
      <c r="X89" s="29">
        <f>[1]Modeler!Z89</f>
        <v>0</v>
      </c>
      <c r="Y89" s="29">
        <f>[1]Modeler!AA89</f>
        <v>0</v>
      </c>
      <c r="Z89" s="32">
        <f>[1]Modeler!AB89</f>
        <v>0</v>
      </c>
      <c r="AA89" s="29">
        <f>[1]Modeler!AC89</f>
        <v>0</v>
      </c>
      <c r="AB89" s="29">
        <f>[1]Modeler!AD89</f>
        <v>0</v>
      </c>
      <c r="AC89" s="32">
        <f>[1]Modeler!AE89</f>
        <v>0</v>
      </c>
      <c r="AD89" s="29">
        <f>[1]Modeler!AF89</f>
        <v>0</v>
      </c>
      <c r="AE89" s="34">
        <f>[1]Modeler!AG89</f>
        <v>0</v>
      </c>
    </row>
    <row r="90" spans="1:31" x14ac:dyDescent="0.2">
      <c r="A90" s="29">
        <f>[1]Modeler!A90</f>
        <v>0</v>
      </c>
      <c r="B90" s="29">
        <f>[1]Modeler!B90</f>
        <v>0</v>
      </c>
      <c r="C90" s="29" t="str">
        <f>[1]Modeler!C90</f>
        <v>Land/Lease</v>
      </c>
      <c r="D90" s="37">
        <f>[1]Modeler!D90</f>
        <v>45170</v>
      </c>
      <c r="E90" s="29">
        <f>[1]Modeler!F90</f>
        <v>91</v>
      </c>
      <c r="F90" s="29" t="str">
        <f>[1]Modeler!G90</f>
        <v/>
      </c>
      <c r="G90" s="32">
        <f>[1]Modeler!H90</f>
        <v>0</v>
      </c>
      <c r="H90" s="29">
        <f>[1]Modeler!J90</f>
        <v>0</v>
      </c>
      <c r="I90" s="29">
        <f>[1]Modeler!K90</f>
        <v>0</v>
      </c>
      <c r="J90" s="29">
        <f>[1]Modeler!L90</f>
        <v>0</v>
      </c>
      <c r="K90" s="29" t="str">
        <f>[1]Modeler!M90</f>
        <v/>
      </c>
      <c r="L90" s="32">
        <f>[1]Modeler!N90</f>
        <v>0</v>
      </c>
      <c r="M90" s="29">
        <f>[1]Modeler!O90</f>
        <v>0</v>
      </c>
      <c r="N90" s="34">
        <f>[1]Modeler!P90</f>
        <v>0</v>
      </c>
      <c r="O90" s="32">
        <f>[1]Modeler!Q90</f>
        <v>0</v>
      </c>
      <c r="P90" s="29">
        <f>[1]Modeler!R90</f>
        <v>0</v>
      </c>
      <c r="Q90" s="34">
        <f>[1]Modeler!S90</f>
        <v>0</v>
      </c>
      <c r="R90" s="29">
        <f>[1]Modeler!T90</f>
        <v>0</v>
      </c>
      <c r="S90" s="29">
        <f>[1]Modeler!U90</f>
        <v>0</v>
      </c>
      <c r="T90" s="32">
        <f>[1]Modeler!V90</f>
        <v>0</v>
      </c>
      <c r="U90" s="29">
        <f>[1]Modeler!W90</f>
        <v>0</v>
      </c>
      <c r="V90" s="29">
        <f>[1]Modeler!X90</f>
        <v>0</v>
      </c>
      <c r="W90" s="32">
        <f>[1]Modeler!Y90</f>
        <v>0</v>
      </c>
      <c r="X90" s="29">
        <f>[1]Modeler!Z90</f>
        <v>0</v>
      </c>
      <c r="Y90" s="29">
        <f>[1]Modeler!AA90</f>
        <v>0</v>
      </c>
      <c r="Z90" s="32">
        <f>[1]Modeler!AB90</f>
        <v>0</v>
      </c>
      <c r="AA90" s="29">
        <f>[1]Modeler!AC90</f>
        <v>0</v>
      </c>
      <c r="AB90" s="29">
        <f>[1]Modeler!AD90</f>
        <v>0</v>
      </c>
      <c r="AC90" s="32">
        <f>[1]Modeler!AE90</f>
        <v>0</v>
      </c>
      <c r="AD90" s="29">
        <f>[1]Modeler!AF90</f>
        <v>0</v>
      </c>
      <c r="AE90" s="34">
        <f>[1]Modeler!AG90</f>
        <v>0</v>
      </c>
    </row>
    <row r="91" spans="1:31" x14ac:dyDescent="0.2">
      <c r="A91" s="29">
        <f>[1]Modeler!A91</f>
        <v>0</v>
      </c>
      <c r="B91" s="29">
        <f>[1]Modeler!B91</f>
        <v>0</v>
      </c>
      <c r="C91" s="29" t="str">
        <f>[1]Modeler!C91</f>
        <v>SUA &amp; Damages</v>
      </c>
      <c r="D91" s="37">
        <f>[1]Modeler!D91</f>
        <v>45078</v>
      </c>
      <c r="E91" s="29">
        <f>[1]Modeler!F91</f>
        <v>120</v>
      </c>
      <c r="F91" s="29">
        <f>[1]Modeler!G91</f>
        <v>0</v>
      </c>
      <c r="G91" s="32">
        <f>[1]Modeler!H91</f>
        <v>0</v>
      </c>
      <c r="H91" s="29">
        <f>[1]Modeler!J91</f>
        <v>0</v>
      </c>
      <c r="I91" s="29">
        <f>[1]Modeler!K91</f>
        <v>0</v>
      </c>
      <c r="J91" s="29">
        <f>[1]Modeler!L91</f>
        <v>0</v>
      </c>
      <c r="K91" s="29" t="str">
        <f>[1]Modeler!M91</f>
        <v/>
      </c>
      <c r="L91" s="32">
        <f>[1]Modeler!N91</f>
        <v>0</v>
      </c>
      <c r="M91" s="29">
        <f>[1]Modeler!O91</f>
        <v>0</v>
      </c>
      <c r="N91" s="34">
        <f>[1]Modeler!P91</f>
        <v>0</v>
      </c>
      <c r="O91" s="32">
        <f>[1]Modeler!Q91</f>
        <v>0</v>
      </c>
      <c r="P91" s="29">
        <f>[1]Modeler!R91</f>
        <v>0</v>
      </c>
      <c r="Q91" s="34">
        <f>[1]Modeler!S91</f>
        <v>0</v>
      </c>
      <c r="R91" s="29">
        <f>[1]Modeler!T91</f>
        <v>0</v>
      </c>
      <c r="S91" s="29">
        <f>[1]Modeler!U91</f>
        <v>0</v>
      </c>
      <c r="T91" s="32">
        <f>[1]Modeler!V91</f>
        <v>0</v>
      </c>
      <c r="U91" s="29">
        <f>[1]Modeler!W91</f>
        <v>0</v>
      </c>
      <c r="V91" s="29">
        <f>[1]Modeler!X91</f>
        <v>0</v>
      </c>
      <c r="W91" s="32">
        <f>[1]Modeler!Y91</f>
        <v>0</v>
      </c>
      <c r="X91" s="29">
        <f>[1]Modeler!Z91</f>
        <v>0</v>
      </c>
      <c r="Y91" s="29">
        <f>[1]Modeler!AA91</f>
        <v>0</v>
      </c>
      <c r="Z91" s="32">
        <f>[1]Modeler!AB91</f>
        <v>0</v>
      </c>
      <c r="AA91" s="29">
        <f>[1]Modeler!AC91</f>
        <v>0</v>
      </c>
      <c r="AB91" s="29">
        <f>[1]Modeler!AD91</f>
        <v>0</v>
      </c>
      <c r="AC91" s="32">
        <f>[1]Modeler!AE91</f>
        <v>0</v>
      </c>
      <c r="AD91" s="29">
        <f>[1]Modeler!AF91</f>
        <v>0</v>
      </c>
      <c r="AE91" s="34">
        <f>[1]Modeler!AG91</f>
        <v>0</v>
      </c>
    </row>
    <row r="92" spans="1:31" x14ac:dyDescent="0.2">
      <c r="A92" s="29">
        <f>[1]Modeler!A92</f>
        <v>0</v>
      </c>
      <c r="B92" s="29">
        <f>[1]Modeler!B92</f>
        <v>0</v>
      </c>
      <c r="C92" s="29" t="str">
        <f>[1]Modeler!C92</f>
        <v>Permitting</v>
      </c>
      <c r="D92" s="37">
        <f>[1]Modeler!D92</f>
        <v>45108</v>
      </c>
      <c r="E92" s="29">
        <f>[1]Modeler!F92</f>
        <v>21</v>
      </c>
      <c r="F92" s="29">
        <f>[1]Modeler!G92</f>
        <v>180</v>
      </c>
      <c r="G92" s="32">
        <f>[1]Modeler!H92</f>
        <v>45309</v>
      </c>
      <c r="H92" s="29">
        <f>[1]Modeler!J92</f>
        <v>0</v>
      </c>
      <c r="I92" s="29">
        <f>[1]Modeler!K92</f>
        <v>0</v>
      </c>
      <c r="J92" s="29">
        <f>[1]Modeler!L92</f>
        <v>0</v>
      </c>
      <c r="K92" s="29" t="str">
        <f>[1]Modeler!M92</f>
        <v/>
      </c>
      <c r="L92" s="32">
        <f>[1]Modeler!N92</f>
        <v>0</v>
      </c>
      <c r="M92" s="29">
        <f>[1]Modeler!O92</f>
        <v>0</v>
      </c>
      <c r="N92" s="34">
        <f>[1]Modeler!P92</f>
        <v>0</v>
      </c>
      <c r="O92" s="32">
        <f>[1]Modeler!Q92</f>
        <v>0</v>
      </c>
      <c r="P92" s="29">
        <f>[1]Modeler!R92</f>
        <v>0</v>
      </c>
      <c r="Q92" s="34">
        <f>[1]Modeler!S92</f>
        <v>0</v>
      </c>
      <c r="R92" s="29">
        <f>[1]Modeler!T92</f>
        <v>0</v>
      </c>
      <c r="S92" s="29">
        <f>[1]Modeler!U92</f>
        <v>0</v>
      </c>
      <c r="T92" s="32">
        <f>[1]Modeler!V92</f>
        <v>0</v>
      </c>
      <c r="U92" s="29">
        <f>[1]Modeler!W92</f>
        <v>0</v>
      </c>
      <c r="V92" s="29">
        <f>[1]Modeler!X92</f>
        <v>0</v>
      </c>
      <c r="W92" s="32">
        <f>[1]Modeler!Y92</f>
        <v>0</v>
      </c>
      <c r="X92" s="29">
        <f>[1]Modeler!Z92</f>
        <v>0</v>
      </c>
      <c r="Y92" s="29">
        <f>[1]Modeler!AA92</f>
        <v>0</v>
      </c>
      <c r="Z92" s="32">
        <f>[1]Modeler!AB92</f>
        <v>0</v>
      </c>
      <c r="AA92" s="29">
        <f>[1]Modeler!AC92</f>
        <v>0</v>
      </c>
      <c r="AB92" s="29">
        <f>[1]Modeler!AD92</f>
        <v>0</v>
      </c>
      <c r="AC92" s="32">
        <f>[1]Modeler!AE92</f>
        <v>0</v>
      </c>
      <c r="AD92" s="29">
        <f>[1]Modeler!AF92</f>
        <v>0</v>
      </c>
      <c r="AE92" s="34">
        <f>[1]Modeler!AG92</f>
        <v>0</v>
      </c>
    </row>
    <row r="93" spans="1:31" x14ac:dyDescent="0.2">
      <c r="A93" s="29">
        <f>[1]Modeler!A93</f>
        <v>0</v>
      </c>
      <c r="B93" s="29">
        <f>[1]Modeler!B93</f>
        <v>0</v>
      </c>
      <c r="C93" s="29" t="str">
        <f>[1]Modeler!C93</f>
        <v>Pad Construction</v>
      </c>
      <c r="D93" s="37">
        <f>[1]Modeler!D93</f>
        <v>45248</v>
      </c>
      <c r="E93" s="29">
        <f>[1]Modeler!F93</f>
        <v>90</v>
      </c>
      <c r="F93" s="29" t="str">
        <f>[1]Modeler!G93</f>
        <v/>
      </c>
      <c r="G93" s="32">
        <f>[1]Modeler!H93</f>
        <v>0</v>
      </c>
      <c r="H93" s="29">
        <f>[1]Modeler!J93</f>
        <v>0</v>
      </c>
      <c r="I93" s="29">
        <f>[1]Modeler!K93</f>
        <v>0</v>
      </c>
      <c r="J93" s="29">
        <f>[1]Modeler!L93</f>
        <v>0</v>
      </c>
      <c r="K93" s="29" t="str">
        <f>[1]Modeler!M93</f>
        <v/>
      </c>
      <c r="L93" s="32">
        <f>[1]Modeler!N93</f>
        <v>0</v>
      </c>
      <c r="M93" s="29">
        <f>[1]Modeler!O93</f>
        <v>0</v>
      </c>
      <c r="N93" s="34">
        <f>[1]Modeler!P93</f>
        <v>0</v>
      </c>
      <c r="O93" s="32">
        <f>[1]Modeler!Q93</f>
        <v>0</v>
      </c>
      <c r="P93" s="29">
        <f>[1]Modeler!R93</f>
        <v>0</v>
      </c>
      <c r="Q93" s="34">
        <f>[1]Modeler!S93</f>
        <v>0</v>
      </c>
      <c r="R93" s="29">
        <f>[1]Modeler!T93</f>
        <v>0</v>
      </c>
      <c r="S93" s="29">
        <f>[1]Modeler!U93</f>
        <v>0</v>
      </c>
      <c r="T93" s="32">
        <f>[1]Modeler!V93</f>
        <v>0</v>
      </c>
      <c r="U93" s="29">
        <f>[1]Modeler!W93</f>
        <v>0</v>
      </c>
      <c r="V93" s="29">
        <f>[1]Modeler!X93</f>
        <v>0</v>
      </c>
      <c r="W93" s="32">
        <f>[1]Modeler!Y93</f>
        <v>0</v>
      </c>
      <c r="X93" s="29">
        <f>[1]Modeler!Z93</f>
        <v>0</v>
      </c>
      <c r="Y93" s="29">
        <f>[1]Modeler!AA93</f>
        <v>0</v>
      </c>
      <c r="Z93" s="32">
        <f>[1]Modeler!AB93</f>
        <v>0</v>
      </c>
      <c r="AA93" s="29">
        <f>[1]Modeler!AC93</f>
        <v>0</v>
      </c>
      <c r="AB93" s="29">
        <f>[1]Modeler!AD93</f>
        <v>0</v>
      </c>
      <c r="AC93" s="32">
        <f>[1]Modeler!AE93</f>
        <v>0</v>
      </c>
      <c r="AD93" s="29">
        <f>[1]Modeler!AF93</f>
        <v>0</v>
      </c>
      <c r="AE93" s="34">
        <f>[1]Modeler!AG93</f>
        <v>0</v>
      </c>
    </row>
    <row r="94" spans="1:31" x14ac:dyDescent="0.2">
      <c r="A94" s="29">
        <f>[1]Modeler!A94</f>
        <v>0</v>
      </c>
      <c r="B94" s="29">
        <f>[1]Modeler!B94</f>
        <v>0</v>
      </c>
      <c r="C94" s="29" t="str">
        <f>[1]Modeler!C94</f>
        <v>Conductor - WO1 P022, P032, N042, N052</v>
      </c>
      <c r="D94" s="37">
        <f>[1]Modeler!D94</f>
        <v>45258</v>
      </c>
      <c r="E94" s="29">
        <f>[1]Modeler!F94</f>
        <v>90</v>
      </c>
      <c r="F94" s="29" t="str">
        <f>[1]Modeler!G94</f>
        <v/>
      </c>
      <c r="G94" s="32">
        <f>[1]Modeler!H94</f>
        <v>0</v>
      </c>
      <c r="H94" s="29">
        <f>[1]Modeler!J94</f>
        <v>0</v>
      </c>
      <c r="I94" s="29">
        <f>[1]Modeler!K94</f>
        <v>0</v>
      </c>
      <c r="J94" s="29">
        <f>[1]Modeler!L94</f>
        <v>0</v>
      </c>
      <c r="K94" s="29" t="str">
        <f>[1]Modeler!M94</f>
        <v/>
      </c>
      <c r="L94" s="32">
        <f>[1]Modeler!N94</f>
        <v>0</v>
      </c>
      <c r="M94" s="29">
        <f>[1]Modeler!O94</f>
        <v>0</v>
      </c>
      <c r="N94" s="34">
        <f>[1]Modeler!P94</f>
        <v>0</v>
      </c>
      <c r="O94" s="32">
        <f>[1]Modeler!Q94</f>
        <v>0</v>
      </c>
      <c r="P94" s="29">
        <f>[1]Modeler!R94</f>
        <v>0</v>
      </c>
      <c r="Q94" s="34">
        <f>[1]Modeler!S94</f>
        <v>0</v>
      </c>
      <c r="R94" s="29">
        <f>[1]Modeler!T94</f>
        <v>0</v>
      </c>
      <c r="S94" s="29">
        <f>[1]Modeler!U94</f>
        <v>0</v>
      </c>
      <c r="T94" s="32">
        <f>[1]Modeler!V94</f>
        <v>0</v>
      </c>
      <c r="U94" s="29">
        <f>[1]Modeler!W94</f>
        <v>0</v>
      </c>
      <c r="V94" s="29">
        <f>[1]Modeler!X94</f>
        <v>0</v>
      </c>
      <c r="W94" s="32">
        <f>[1]Modeler!Y94</f>
        <v>0</v>
      </c>
      <c r="X94" s="29">
        <f>[1]Modeler!Z94</f>
        <v>0</v>
      </c>
      <c r="Y94" s="29">
        <f>[1]Modeler!AA94</f>
        <v>0</v>
      </c>
      <c r="Z94" s="32">
        <f>[1]Modeler!AB94</f>
        <v>0</v>
      </c>
      <c r="AA94" s="29">
        <f>[1]Modeler!AC94</f>
        <v>0</v>
      </c>
      <c r="AB94" s="29">
        <f>[1]Modeler!AD94</f>
        <v>0</v>
      </c>
      <c r="AC94" s="32">
        <f>[1]Modeler!AE94</f>
        <v>0</v>
      </c>
      <c r="AD94" s="29">
        <f>[1]Modeler!AF94</f>
        <v>0</v>
      </c>
      <c r="AE94" s="34">
        <f>[1]Modeler!AG94</f>
        <v>0</v>
      </c>
    </row>
    <row r="95" spans="1:31" x14ac:dyDescent="0.2">
      <c r="A95" s="29">
        <f>[1]Modeler!A95</f>
        <v>0</v>
      </c>
      <c r="B95" s="29">
        <f>[1]Modeler!B95</f>
        <v>0</v>
      </c>
      <c r="C95" s="29" t="str">
        <f>[1]Modeler!C95</f>
        <v>D&amp;C WO1 P022</v>
      </c>
      <c r="D95" s="37">
        <f>[1]Modeler!D95</f>
        <v>45352</v>
      </c>
      <c r="E95" s="29">
        <f>[1]Modeler!F95</f>
        <v>60</v>
      </c>
      <c r="F95" s="29">
        <f>[1]Modeler!G95</f>
        <v>7</v>
      </c>
      <c r="G95" s="32">
        <f>[1]Modeler!H95</f>
        <v>45419</v>
      </c>
      <c r="H95" s="29">
        <f>[1]Modeler!J95</f>
        <v>60</v>
      </c>
      <c r="I95" s="29">
        <f>[1]Modeler!K95</f>
        <v>0</v>
      </c>
      <c r="J95" s="29">
        <f>[1]Modeler!L95</f>
        <v>0</v>
      </c>
      <c r="K95" s="29" t="str">
        <f>[1]Modeler!M95</f>
        <v/>
      </c>
      <c r="L95" s="32">
        <f>[1]Modeler!N95</f>
        <v>0</v>
      </c>
      <c r="M95" s="29">
        <f>[1]Modeler!O95</f>
        <v>0</v>
      </c>
      <c r="N95" s="34">
        <f>[1]Modeler!P95</f>
        <v>0</v>
      </c>
      <c r="O95" s="32">
        <f>[1]Modeler!Q95</f>
        <v>0</v>
      </c>
      <c r="P95" s="29">
        <f>[1]Modeler!R95</f>
        <v>0</v>
      </c>
      <c r="Q95" s="34">
        <f>[1]Modeler!S95</f>
        <v>0</v>
      </c>
      <c r="R95" s="29">
        <f>[1]Modeler!T95</f>
        <v>0</v>
      </c>
      <c r="S95" s="29">
        <f>[1]Modeler!U95</f>
        <v>0</v>
      </c>
      <c r="T95" s="32">
        <f>[1]Modeler!V95</f>
        <v>0</v>
      </c>
      <c r="U95" s="29">
        <f>[1]Modeler!W95</f>
        <v>0</v>
      </c>
      <c r="V95" s="29">
        <f>[1]Modeler!X95</f>
        <v>0</v>
      </c>
      <c r="W95" s="32">
        <f>[1]Modeler!Y95</f>
        <v>0</v>
      </c>
      <c r="X95" s="29">
        <f>[1]Modeler!Z95</f>
        <v>0</v>
      </c>
      <c r="Y95" s="29">
        <f>[1]Modeler!AA95</f>
        <v>0</v>
      </c>
      <c r="Z95" s="32">
        <f>[1]Modeler!AB95</f>
        <v>0</v>
      </c>
      <c r="AA95" s="29">
        <f>[1]Modeler!AC95</f>
        <v>0</v>
      </c>
      <c r="AB95" s="29">
        <f>[1]Modeler!AD95</f>
        <v>0</v>
      </c>
      <c r="AC95" s="32">
        <f>[1]Modeler!AE95</f>
        <v>0</v>
      </c>
      <c r="AD95" s="29">
        <f>[1]Modeler!AF95</f>
        <v>0</v>
      </c>
      <c r="AE95" s="34">
        <f>[1]Modeler!AG95</f>
        <v>0</v>
      </c>
    </row>
    <row r="96" spans="1:31" x14ac:dyDescent="0.2">
      <c r="A96" s="29">
        <f>[1]Modeler!A96</f>
        <v>0</v>
      </c>
      <c r="B96" s="29">
        <f>[1]Modeler!B96</f>
        <v>0</v>
      </c>
      <c r="C96" s="29" t="str">
        <f>[1]Modeler!C96</f>
        <v>Equip P022</v>
      </c>
      <c r="D96" s="37">
        <f>[1]Modeler!D96</f>
        <v>45417</v>
      </c>
      <c r="E96" s="29">
        <f>[1]Modeler!F96</f>
        <v>30</v>
      </c>
      <c r="F96" s="29">
        <f>[1]Modeler!G96</f>
        <v>0</v>
      </c>
      <c r="G96" s="32">
        <f>[1]Modeler!H96</f>
        <v>0</v>
      </c>
      <c r="H96" s="29">
        <f>[1]Modeler!J96</f>
        <v>0</v>
      </c>
      <c r="I96" s="29">
        <f>[1]Modeler!K96</f>
        <v>0</v>
      </c>
      <c r="J96" s="29">
        <f>[1]Modeler!L96</f>
        <v>0</v>
      </c>
      <c r="K96" s="29" t="str">
        <f>[1]Modeler!M96</f>
        <v/>
      </c>
      <c r="L96" s="32">
        <f>[1]Modeler!N96</f>
        <v>0</v>
      </c>
      <c r="M96" s="29">
        <f>[1]Modeler!O96</f>
        <v>0</v>
      </c>
      <c r="N96" s="34">
        <f>[1]Modeler!P96</f>
        <v>0</v>
      </c>
      <c r="O96" s="32">
        <f>[1]Modeler!Q96</f>
        <v>0</v>
      </c>
      <c r="P96" s="29">
        <f>[1]Modeler!R96</f>
        <v>0</v>
      </c>
      <c r="Q96" s="34">
        <f>[1]Modeler!S96</f>
        <v>0</v>
      </c>
      <c r="R96" s="29">
        <f>[1]Modeler!T96</f>
        <v>0</v>
      </c>
      <c r="S96" s="29">
        <f>[1]Modeler!U96</f>
        <v>0</v>
      </c>
      <c r="T96" s="32">
        <f>[1]Modeler!V96</f>
        <v>0</v>
      </c>
      <c r="U96" s="29">
        <f>[1]Modeler!W96</f>
        <v>0</v>
      </c>
      <c r="V96" s="29">
        <f>[1]Modeler!X96</f>
        <v>0</v>
      </c>
      <c r="W96" s="32">
        <f>[1]Modeler!Y96</f>
        <v>0</v>
      </c>
      <c r="X96" s="29">
        <f>[1]Modeler!Z96</f>
        <v>0</v>
      </c>
      <c r="Y96" s="29">
        <f>[1]Modeler!AA96</f>
        <v>0</v>
      </c>
      <c r="Z96" s="32">
        <f>[1]Modeler!AB96</f>
        <v>0</v>
      </c>
      <c r="AA96" s="29">
        <f>[1]Modeler!AC96</f>
        <v>0</v>
      </c>
      <c r="AB96" s="29">
        <f>[1]Modeler!AD96</f>
        <v>0</v>
      </c>
      <c r="AC96" s="32">
        <f>[1]Modeler!AE96</f>
        <v>0</v>
      </c>
      <c r="AD96" s="29">
        <f>[1]Modeler!AF96</f>
        <v>0</v>
      </c>
      <c r="AE96" s="34">
        <f>[1]Modeler!AG96</f>
        <v>0</v>
      </c>
    </row>
    <row r="97" spans="1:31" x14ac:dyDescent="0.2">
      <c r="A97" s="29">
        <f>[1]Modeler!A97</f>
        <v>0</v>
      </c>
      <c r="B97" s="29">
        <f>[1]Modeler!B97</f>
        <v>0</v>
      </c>
      <c r="C97" s="29" t="str">
        <f>[1]Modeler!C97</f>
        <v>D&amp;C WO1 P032</v>
      </c>
      <c r="D97" s="37">
        <f>[1]Modeler!D97</f>
        <v>45417</v>
      </c>
      <c r="E97" s="29">
        <f>[1]Modeler!F97</f>
        <v>60</v>
      </c>
      <c r="F97" s="29">
        <f>[1]Modeler!G97</f>
        <v>7</v>
      </c>
      <c r="G97" s="32">
        <f>[1]Modeler!H97</f>
        <v>45484</v>
      </c>
      <c r="H97" s="29">
        <f>[1]Modeler!J97</f>
        <v>60</v>
      </c>
      <c r="I97" s="29">
        <f>[1]Modeler!K97</f>
        <v>0</v>
      </c>
      <c r="J97" s="29">
        <f>[1]Modeler!L97</f>
        <v>0</v>
      </c>
      <c r="K97" s="29" t="str">
        <f>[1]Modeler!M97</f>
        <v/>
      </c>
      <c r="L97" s="32">
        <f>[1]Modeler!N97</f>
        <v>0</v>
      </c>
      <c r="M97" s="29">
        <f>[1]Modeler!O97</f>
        <v>0</v>
      </c>
      <c r="N97" s="34">
        <f>[1]Modeler!P97</f>
        <v>0</v>
      </c>
      <c r="O97" s="32">
        <f>[1]Modeler!Q97</f>
        <v>0</v>
      </c>
      <c r="P97" s="29">
        <f>[1]Modeler!R97</f>
        <v>0</v>
      </c>
      <c r="Q97" s="34">
        <f>[1]Modeler!S97</f>
        <v>0</v>
      </c>
      <c r="R97" s="29">
        <f>[1]Modeler!T97</f>
        <v>0</v>
      </c>
      <c r="S97" s="29">
        <f>[1]Modeler!U97</f>
        <v>0</v>
      </c>
      <c r="T97" s="32">
        <f>[1]Modeler!V97</f>
        <v>0</v>
      </c>
      <c r="U97" s="29">
        <f>[1]Modeler!W97</f>
        <v>0</v>
      </c>
      <c r="V97" s="29">
        <f>[1]Modeler!X97</f>
        <v>0</v>
      </c>
      <c r="W97" s="32">
        <f>[1]Modeler!Y97</f>
        <v>0</v>
      </c>
      <c r="X97" s="29">
        <f>[1]Modeler!Z97</f>
        <v>0</v>
      </c>
      <c r="Y97" s="29">
        <f>[1]Modeler!AA97</f>
        <v>0</v>
      </c>
      <c r="Z97" s="32">
        <f>[1]Modeler!AB97</f>
        <v>0</v>
      </c>
      <c r="AA97" s="29">
        <f>[1]Modeler!AC97</f>
        <v>0</v>
      </c>
      <c r="AB97" s="29">
        <f>[1]Modeler!AD97</f>
        <v>0</v>
      </c>
      <c r="AC97" s="32">
        <f>[1]Modeler!AE97</f>
        <v>0</v>
      </c>
      <c r="AD97" s="29">
        <f>[1]Modeler!AF97</f>
        <v>0</v>
      </c>
      <c r="AE97" s="34">
        <f>[1]Modeler!AG97</f>
        <v>0</v>
      </c>
    </row>
    <row r="98" spans="1:31" x14ac:dyDescent="0.2">
      <c r="A98" s="29">
        <f>[1]Modeler!A98</f>
        <v>0</v>
      </c>
      <c r="B98" s="29">
        <f>[1]Modeler!B98</f>
        <v>0</v>
      </c>
      <c r="C98" s="29" t="str">
        <f>[1]Modeler!C98</f>
        <v>Equip P032</v>
      </c>
      <c r="D98" s="37">
        <f>[1]Modeler!D98</f>
        <v>45482</v>
      </c>
      <c r="E98" s="29">
        <f>[1]Modeler!F98</f>
        <v>30</v>
      </c>
      <c r="F98" s="29">
        <f>[1]Modeler!G98</f>
        <v>0</v>
      </c>
      <c r="G98" s="32">
        <f>[1]Modeler!H98</f>
        <v>0</v>
      </c>
      <c r="H98" s="29">
        <f>[1]Modeler!J98</f>
        <v>0</v>
      </c>
      <c r="I98" s="29">
        <f>[1]Modeler!K98</f>
        <v>0</v>
      </c>
      <c r="J98" s="29">
        <f>[1]Modeler!L98</f>
        <v>0</v>
      </c>
      <c r="K98" s="29" t="str">
        <f>[1]Modeler!M98</f>
        <v/>
      </c>
      <c r="L98" s="32">
        <f>[1]Modeler!N98</f>
        <v>0</v>
      </c>
      <c r="M98" s="29">
        <f>[1]Modeler!O98</f>
        <v>0</v>
      </c>
      <c r="N98" s="34">
        <f>[1]Modeler!P98</f>
        <v>0</v>
      </c>
      <c r="O98" s="32">
        <f>[1]Modeler!Q98</f>
        <v>0</v>
      </c>
      <c r="P98" s="29">
        <f>[1]Modeler!R98</f>
        <v>0</v>
      </c>
      <c r="Q98" s="34">
        <f>[1]Modeler!S98</f>
        <v>0</v>
      </c>
      <c r="R98" s="29">
        <f>[1]Modeler!T98</f>
        <v>0</v>
      </c>
      <c r="S98" s="29">
        <f>[1]Modeler!U98</f>
        <v>0</v>
      </c>
      <c r="T98" s="32">
        <f>[1]Modeler!V98</f>
        <v>0</v>
      </c>
      <c r="U98" s="29">
        <f>[1]Modeler!W98</f>
        <v>0</v>
      </c>
      <c r="V98" s="29">
        <f>[1]Modeler!X98</f>
        <v>0</v>
      </c>
      <c r="W98" s="32">
        <f>[1]Modeler!Y98</f>
        <v>0</v>
      </c>
      <c r="X98" s="29">
        <f>[1]Modeler!Z98</f>
        <v>0</v>
      </c>
      <c r="Y98" s="29">
        <f>[1]Modeler!AA98</f>
        <v>0</v>
      </c>
      <c r="Z98" s="32">
        <f>[1]Modeler!AB98</f>
        <v>0</v>
      </c>
      <c r="AA98" s="29">
        <f>[1]Modeler!AC98</f>
        <v>0</v>
      </c>
      <c r="AB98" s="29">
        <f>[1]Modeler!AD98</f>
        <v>0</v>
      </c>
      <c r="AC98" s="32">
        <f>[1]Modeler!AE98</f>
        <v>0</v>
      </c>
      <c r="AD98" s="29">
        <f>[1]Modeler!AF98</f>
        <v>0</v>
      </c>
      <c r="AE98" s="34">
        <f>[1]Modeler!AG98</f>
        <v>0</v>
      </c>
    </row>
    <row r="99" spans="1:31" x14ac:dyDescent="0.2">
      <c r="A99" s="29">
        <f>[1]Modeler!A99</f>
        <v>0</v>
      </c>
      <c r="B99" s="29">
        <f>[1]Modeler!B99</f>
        <v>0</v>
      </c>
      <c r="C99" s="29" t="str">
        <f>[1]Modeler!C99</f>
        <v>D&amp;C WO1 N042</v>
      </c>
      <c r="D99" s="37">
        <f>[1]Modeler!D99</f>
        <v>45482</v>
      </c>
      <c r="E99" s="29">
        <f>[1]Modeler!F99</f>
        <v>60</v>
      </c>
      <c r="F99" s="29">
        <f>[1]Modeler!G99</f>
        <v>7</v>
      </c>
      <c r="G99" s="32">
        <f>[1]Modeler!H99</f>
        <v>45549</v>
      </c>
      <c r="H99" s="29">
        <f>[1]Modeler!J99</f>
        <v>60</v>
      </c>
      <c r="I99" s="29">
        <f>[1]Modeler!K99</f>
        <v>0</v>
      </c>
      <c r="J99" s="29">
        <f>[1]Modeler!L99</f>
        <v>0</v>
      </c>
      <c r="K99" s="29" t="str">
        <f>[1]Modeler!M99</f>
        <v/>
      </c>
      <c r="L99" s="32">
        <f>[1]Modeler!N99</f>
        <v>0</v>
      </c>
      <c r="M99" s="29">
        <f>[1]Modeler!O99</f>
        <v>0</v>
      </c>
      <c r="N99" s="34">
        <f>[1]Modeler!P99</f>
        <v>0</v>
      </c>
      <c r="O99" s="32">
        <f>[1]Modeler!Q99</f>
        <v>0</v>
      </c>
      <c r="P99" s="29">
        <f>[1]Modeler!R99</f>
        <v>0</v>
      </c>
      <c r="Q99" s="34">
        <f>[1]Modeler!S99</f>
        <v>0</v>
      </c>
      <c r="R99" s="29">
        <f>[1]Modeler!T99</f>
        <v>0</v>
      </c>
      <c r="S99" s="29">
        <f>[1]Modeler!U99</f>
        <v>0</v>
      </c>
      <c r="T99" s="32">
        <f>[1]Modeler!V99</f>
        <v>0</v>
      </c>
      <c r="U99" s="29">
        <f>[1]Modeler!W99</f>
        <v>0</v>
      </c>
      <c r="V99" s="29">
        <f>[1]Modeler!X99</f>
        <v>0</v>
      </c>
      <c r="W99" s="32">
        <f>[1]Modeler!Y99</f>
        <v>0</v>
      </c>
      <c r="X99" s="29">
        <f>[1]Modeler!Z99</f>
        <v>0</v>
      </c>
      <c r="Y99" s="29">
        <f>[1]Modeler!AA99</f>
        <v>0</v>
      </c>
      <c r="Z99" s="32">
        <f>[1]Modeler!AB99</f>
        <v>0</v>
      </c>
      <c r="AA99" s="29">
        <f>[1]Modeler!AC99</f>
        <v>0</v>
      </c>
      <c r="AB99" s="29">
        <f>[1]Modeler!AD99</f>
        <v>0</v>
      </c>
      <c r="AC99" s="32">
        <f>[1]Modeler!AE99</f>
        <v>0</v>
      </c>
      <c r="AD99" s="29">
        <f>[1]Modeler!AF99</f>
        <v>0</v>
      </c>
      <c r="AE99" s="34">
        <f>[1]Modeler!AG99</f>
        <v>0</v>
      </c>
    </row>
    <row r="100" spans="1:31" x14ac:dyDescent="0.2">
      <c r="A100" s="29">
        <f>[1]Modeler!A100</f>
        <v>0</v>
      </c>
      <c r="B100" s="29">
        <f>[1]Modeler!B100</f>
        <v>0</v>
      </c>
      <c r="C100" s="29" t="str">
        <f>[1]Modeler!C100</f>
        <v>Equip N042</v>
      </c>
      <c r="D100" s="37">
        <f>[1]Modeler!D100</f>
        <v>45547</v>
      </c>
      <c r="E100" s="29">
        <f>[1]Modeler!F100</f>
        <v>30</v>
      </c>
      <c r="F100" s="29">
        <f>[1]Modeler!G100</f>
        <v>0</v>
      </c>
      <c r="G100" s="32">
        <f>[1]Modeler!H100</f>
        <v>0</v>
      </c>
      <c r="H100" s="29">
        <f>[1]Modeler!J100</f>
        <v>0</v>
      </c>
      <c r="I100" s="29">
        <f>[1]Modeler!K100</f>
        <v>0</v>
      </c>
      <c r="J100" s="29">
        <f>[1]Modeler!L100</f>
        <v>0</v>
      </c>
      <c r="K100" s="29" t="str">
        <f>[1]Modeler!M100</f>
        <v/>
      </c>
      <c r="L100" s="32">
        <f>[1]Modeler!N100</f>
        <v>0</v>
      </c>
      <c r="M100" s="29">
        <f>[1]Modeler!O100</f>
        <v>0</v>
      </c>
      <c r="N100" s="34">
        <f>[1]Modeler!P100</f>
        <v>0</v>
      </c>
      <c r="O100" s="32">
        <f>[1]Modeler!Q100</f>
        <v>0</v>
      </c>
      <c r="P100" s="29">
        <f>[1]Modeler!R100</f>
        <v>0</v>
      </c>
      <c r="Q100" s="34">
        <f>[1]Modeler!S100</f>
        <v>0</v>
      </c>
      <c r="R100" s="29">
        <f>[1]Modeler!T100</f>
        <v>0</v>
      </c>
      <c r="S100" s="29">
        <f>[1]Modeler!U100</f>
        <v>0</v>
      </c>
      <c r="T100" s="32">
        <f>[1]Modeler!V100</f>
        <v>0</v>
      </c>
      <c r="U100" s="29">
        <f>[1]Modeler!W100</f>
        <v>0</v>
      </c>
      <c r="V100" s="29">
        <f>[1]Modeler!X100</f>
        <v>0</v>
      </c>
      <c r="W100" s="32">
        <f>[1]Modeler!Y100</f>
        <v>0</v>
      </c>
      <c r="X100" s="29">
        <f>[1]Modeler!Z100</f>
        <v>0</v>
      </c>
      <c r="Y100" s="29">
        <f>[1]Modeler!AA100</f>
        <v>0</v>
      </c>
      <c r="Z100" s="32">
        <f>[1]Modeler!AB100</f>
        <v>0</v>
      </c>
      <c r="AA100" s="29">
        <f>[1]Modeler!AC100</f>
        <v>0</v>
      </c>
      <c r="AB100" s="29">
        <f>[1]Modeler!AD100</f>
        <v>0</v>
      </c>
      <c r="AC100" s="32">
        <f>[1]Modeler!AE100</f>
        <v>0</v>
      </c>
      <c r="AD100" s="29">
        <f>[1]Modeler!AF100</f>
        <v>0</v>
      </c>
      <c r="AE100" s="34">
        <f>[1]Modeler!AG100</f>
        <v>0</v>
      </c>
    </row>
    <row r="101" spans="1:31" x14ac:dyDescent="0.2">
      <c r="A101" s="29">
        <f>[1]Modeler!A101</f>
        <v>0</v>
      </c>
      <c r="B101" s="29">
        <f>[1]Modeler!B101</f>
        <v>0</v>
      </c>
      <c r="C101" s="29" t="str">
        <f>[1]Modeler!C101</f>
        <v>D&amp;C WO1 N052</v>
      </c>
      <c r="D101" s="37">
        <f>[1]Modeler!D101</f>
        <v>45547</v>
      </c>
      <c r="E101" s="29">
        <f>[1]Modeler!F101</f>
        <v>60</v>
      </c>
      <c r="F101" s="29">
        <f>[1]Modeler!G101</f>
        <v>7</v>
      </c>
      <c r="G101" s="32">
        <f>[1]Modeler!H101</f>
        <v>45614</v>
      </c>
      <c r="H101" s="29">
        <f>[1]Modeler!J101</f>
        <v>60</v>
      </c>
      <c r="I101" s="29">
        <f>[1]Modeler!K101</f>
        <v>0</v>
      </c>
      <c r="J101" s="29">
        <f>[1]Modeler!L101</f>
        <v>0</v>
      </c>
      <c r="K101" s="29" t="str">
        <f>[1]Modeler!M101</f>
        <v/>
      </c>
      <c r="L101" s="32">
        <f>[1]Modeler!N101</f>
        <v>0</v>
      </c>
      <c r="M101" s="29">
        <f>[1]Modeler!O101</f>
        <v>0</v>
      </c>
      <c r="N101" s="34">
        <f>[1]Modeler!P101</f>
        <v>0</v>
      </c>
      <c r="O101" s="32">
        <f>[1]Modeler!Q101</f>
        <v>0</v>
      </c>
      <c r="P101" s="29">
        <f>[1]Modeler!R101</f>
        <v>0</v>
      </c>
      <c r="Q101" s="34">
        <f>[1]Modeler!S101</f>
        <v>0</v>
      </c>
      <c r="R101" s="29">
        <f>[1]Modeler!T101</f>
        <v>0</v>
      </c>
      <c r="S101" s="29">
        <f>[1]Modeler!U101</f>
        <v>0</v>
      </c>
      <c r="T101" s="32">
        <f>[1]Modeler!V101</f>
        <v>0</v>
      </c>
      <c r="U101" s="29">
        <f>[1]Modeler!W101</f>
        <v>0</v>
      </c>
      <c r="V101" s="29">
        <f>[1]Modeler!X101</f>
        <v>0</v>
      </c>
      <c r="W101" s="32">
        <f>[1]Modeler!Y101</f>
        <v>0</v>
      </c>
      <c r="X101" s="29">
        <f>[1]Modeler!Z101</f>
        <v>0</v>
      </c>
      <c r="Y101" s="29">
        <f>[1]Modeler!AA101</f>
        <v>0</v>
      </c>
      <c r="Z101" s="32">
        <f>[1]Modeler!AB101</f>
        <v>0</v>
      </c>
      <c r="AA101" s="29">
        <f>[1]Modeler!AC101</f>
        <v>0</v>
      </c>
      <c r="AB101" s="29">
        <f>[1]Modeler!AD101</f>
        <v>0</v>
      </c>
      <c r="AC101" s="32">
        <f>[1]Modeler!AE101</f>
        <v>0</v>
      </c>
      <c r="AD101" s="29">
        <f>[1]Modeler!AF101</f>
        <v>0</v>
      </c>
      <c r="AE101" s="34">
        <f>[1]Modeler!AG101</f>
        <v>0</v>
      </c>
    </row>
    <row r="102" spans="1:31" x14ac:dyDescent="0.2">
      <c r="A102" s="29">
        <f>[1]Modeler!A102</f>
        <v>0</v>
      </c>
      <c r="B102" s="29">
        <f>[1]Modeler!B102</f>
        <v>0</v>
      </c>
      <c r="C102" s="29" t="str">
        <f>[1]Modeler!C102</f>
        <v>Equip N052</v>
      </c>
      <c r="D102" s="37">
        <f>[1]Modeler!D102</f>
        <v>45612</v>
      </c>
      <c r="E102" s="29">
        <f>[1]Modeler!F102</f>
        <v>30</v>
      </c>
      <c r="F102" s="29" t="str">
        <f>[1]Modeler!G102</f>
        <v/>
      </c>
      <c r="G102" s="32">
        <f>[1]Modeler!H102</f>
        <v>0</v>
      </c>
      <c r="H102" s="29">
        <f>[1]Modeler!J102</f>
        <v>0</v>
      </c>
      <c r="I102" s="29">
        <f>[1]Modeler!K102</f>
        <v>0</v>
      </c>
      <c r="J102" s="29">
        <f>[1]Modeler!L102</f>
        <v>0</v>
      </c>
      <c r="K102" s="29" t="str">
        <f>[1]Modeler!M102</f>
        <v/>
      </c>
      <c r="L102" s="32">
        <f>[1]Modeler!N102</f>
        <v>0</v>
      </c>
      <c r="M102" s="29">
        <f>[1]Modeler!O102</f>
        <v>0</v>
      </c>
      <c r="N102" s="34">
        <f>[1]Modeler!P102</f>
        <v>0</v>
      </c>
      <c r="O102" s="32">
        <f>[1]Modeler!Q102</f>
        <v>0</v>
      </c>
      <c r="P102" s="29">
        <f>[1]Modeler!R102</f>
        <v>0</v>
      </c>
      <c r="Q102" s="34">
        <f>[1]Modeler!S102</f>
        <v>0</v>
      </c>
      <c r="R102" s="29">
        <f>[1]Modeler!T102</f>
        <v>0</v>
      </c>
      <c r="S102" s="29">
        <f>[1]Modeler!U102</f>
        <v>0</v>
      </c>
      <c r="T102" s="32">
        <f>[1]Modeler!V102</f>
        <v>0</v>
      </c>
      <c r="U102" s="29">
        <f>[1]Modeler!W102</f>
        <v>0</v>
      </c>
      <c r="V102" s="29">
        <f>[1]Modeler!X102</f>
        <v>0</v>
      </c>
      <c r="W102" s="32">
        <f>[1]Modeler!Y102</f>
        <v>0</v>
      </c>
      <c r="X102" s="29">
        <f>[1]Modeler!Z102</f>
        <v>0</v>
      </c>
      <c r="Y102" s="29">
        <f>[1]Modeler!AA102</f>
        <v>0</v>
      </c>
      <c r="Z102" s="32">
        <f>[1]Modeler!AB102</f>
        <v>0</v>
      </c>
      <c r="AA102" s="29">
        <f>[1]Modeler!AC102</f>
        <v>0</v>
      </c>
      <c r="AB102" s="29">
        <f>[1]Modeler!AD102</f>
        <v>0</v>
      </c>
      <c r="AC102" s="32">
        <f>[1]Modeler!AE102</f>
        <v>0</v>
      </c>
      <c r="AD102" s="29">
        <f>[1]Modeler!AF102</f>
        <v>0</v>
      </c>
      <c r="AE102" s="34">
        <f>[1]Modeler!AG102</f>
        <v>0</v>
      </c>
    </row>
    <row r="103" spans="1:31" x14ac:dyDescent="0.2">
      <c r="A103" s="29">
        <f>[1]Modeler!A103</f>
        <v>0</v>
      </c>
      <c r="B103" s="29">
        <f>[1]Modeler!B103</f>
        <v>0</v>
      </c>
      <c r="C103" s="29" t="str">
        <f>[1]Modeler!C103</f>
        <v>Pad Construction</v>
      </c>
      <c r="D103" s="37">
        <f>[1]Modeler!D103</f>
        <v>45508</v>
      </c>
      <c r="E103" s="29">
        <f>[1]Modeler!F103</f>
        <v>90</v>
      </c>
      <c r="F103" s="29" t="str">
        <f>[1]Modeler!G103</f>
        <v/>
      </c>
      <c r="G103" s="32">
        <f>[1]Modeler!H103</f>
        <v>0</v>
      </c>
      <c r="H103" s="29">
        <f>[1]Modeler!J103</f>
        <v>0</v>
      </c>
      <c r="I103" s="29">
        <f>[1]Modeler!K103</f>
        <v>0</v>
      </c>
      <c r="J103" s="29">
        <f>[1]Modeler!L103</f>
        <v>0</v>
      </c>
      <c r="K103" s="29" t="str">
        <f>[1]Modeler!M103</f>
        <v/>
      </c>
      <c r="L103" s="32">
        <f>[1]Modeler!N103</f>
        <v>0</v>
      </c>
      <c r="M103" s="29">
        <f>[1]Modeler!O103</f>
        <v>0</v>
      </c>
      <c r="N103" s="34">
        <f>[1]Modeler!P103</f>
        <v>0</v>
      </c>
      <c r="O103" s="32">
        <f>[1]Modeler!Q103</f>
        <v>0</v>
      </c>
      <c r="P103" s="29">
        <f>[1]Modeler!R103</f>
        <v>0</v>
      </c>
      <c r="Q103" s="34">
        <f>[1]Modeler!S103</f>
        <v>0</v>
      </c>
      <c r="R103" s="29">
        <f>[1]Modeler!T103</f>
        <v>0</v>
      </c>
      <c r="S103" s="29">
        <f>[1]Modeler!U103</f>
        <v>0</v>
      </c>
      <c r="T103" s="32">
        <f>[1]Modeler!V103</f>
        <v>0</v>
      </c>
      <c r="U103" s="29">
        <f>[1]Modeler!W103</f>
        <v>0</v>
      </c>
      <c r="V103" s="29">
        <f>[1]Modeler!X103</f>
        <v>0</v>
      </c>
      <c r="W103" s="32">
        <f>[1]Modeler!Y103</f>
        <v>0</v>
      </c>
      <c r="X103" s="29">
        <f>[1]Modeler!Z103</f>
        <v>0</v>
      </c>
      <c r="Y103" s="29">
        <f>[1]Modeler!AA103</f>
        <v>0</v>
      </c>
      <c r="Z103" s="32">
        <f>[1]Modeler!AB103</f>
        <v>0</v>
      </c>
      <c r="AA103" s="29">
        <f>[1]Modeler!AC103</f>
        <v>0</v>
      </c>
      <c r="AB103" s="29">
        <f>[1]Modeler!AD103</f>
        <v>0</v>
      </c>
      <c r="AC103" s="32">
        <f>[1]Modeler!AE103</f>
        <v>0</v>
      </c>
      <c r="AD103" s="29">
        <f>[1]Modeler!AF103</f>
        <v>0</v>
      </c>
      <c r="AE103" s="34">
        <f>[1]Modeler!AG103</f>
        <v>0</v>
      </c>
    </row>
    <row r="104" spans="1:31" x14ac:dyDescent="0.2">
      <c r="A104" s="29">
        <f>[1]Modeler!A104</f>
        <v>0</v>
      </c>
      <c r="B104" s="29">
        <f>[1]Modeler!B104</f>
        <v>0</v>
      </c>
      <c r="C104" s="29" t="str">
        <f>[1]Modeler!C104</f>
        <v>Conductor - WO1 P062, P072, N082, N092</v>
      </c>
      <c r="D104" s="37">
        <f>[1]Modeler!D104</f>
        <v>45518</v>
      </c>
      <c r="E104" s="29">
        <f>[1]Modeler!F104</f>
        <v>90</v>
      </c>
      <c r="F104" s="29" t="str">
        <f>[1]Modeler!G104</f>
        <v/>
      </c>
      <c r="G104" s="32">
        <f>[1]Modeler!H104</f>
        <v>0</v>
      </c>
      <c r="H104" s="29">
        <f>[1]Modeler!J104</f>
        <v>0</v>
      </c>
      <c r="I104" s="29">
        <f>[1]Modeler!K104</f>
        <v>0</v>
      </c>
      <c r="J104" s="29">
        <f>[1]Modeler!L104</f>
        <v>0</v>
      </c>
      <c r="K104" s="29" t="str">
        <f>[1]Modeler!M104</f>
        <v/>
      </c>
      <c r="L104" s="32">
        <f>[1]Modeler!N104</f>
        <v>0</v>
      </c>
      <c r="M104" s="29">
        <f>[1]Modeler!O104</f>
        <v>0</v>
      </c>
      <c r="N104" s="34">
        <f>[1]Modeler!P104</f>
        <v>0</v>
      </c>
      <c r="O104" s="32">
        <f>[1]Modeler!Q104</f>
        <v>0</v>
      </c>
      <c r="P104" s="29">
        <f>[1]Modeler!R104</f>
        <v>0</v>
      </c>
      <c r="Q104" s="34">
        <f>[1]Modeler!S104</f>
        <v>0</v>
      </c>
      <c r="R104" s="29">
        <f>[1]Modeler!T104</f>
        <v>0</v>
      </c>
      <c r="S104" s="29">
        <f>[1]Modeler!U104</f>
        <v>0</v>
      </c>
      <c r="T104" s="32">
        <f>[1]Modeler!V104</f>
        <v>0</v>
      </c>
      <c r="U104" s="29">
        <f>[1]Modeler!W104</f>
        <v>0</v>
      </c>
      <c r="V104" s="29">
        <f>[1]Modeler!X104</f>
        <v>0</v>
      </c>
      <c r="W104" s="32">
        <f>[1]Modeler!Y104</f>
        <v>0</v>
      </c>
      <c r="X104" s="29">
        <f>[1]Modeler!Z104</f>
        <v>0</v>
      </c>
      <c r="Y104" s="29">
        <f>[1]Modeler!AA104</f>
        <v>0</v>
      </c>
      <c r="Z104" s="32">
        <f>[1]Modeler!AB104</f>
        <v>0</v>
      </c>
      <c r="AA104" s="29">
        <f>[1]Modeler!AC104</f>
        <v>0</v>
      </c>
      <c r="AB104" s="29">
        <f>[1]Modeler!AD104</f>
        <v>0</v>
      </c>
      <c r="AC104" s="32">
        <f>[1]Modeler!AE104</f>
        <v>0</v>
      </c>
      <c r="AD104" s="29">
        <f>[1]Modeler!AF104</f>
        <v>0</v>
      </c>
      <c r="AE104" s="34">
        <f>[1]Modeler!AG104</f>
        <v>0</v>
      </c>
    </row>
    <row r="105" spans="1:31" x14ac:dyDescent="0.2">
      <c r="A105" s="29">
        <f>[1]Modeler!A105</f>
        <v>0</v>
      </c>
      <c r="B105" s="29">
        <f>[1]Modeler!B105</f>
        <v>0</v>
      </c>
      <c r="C105" s="29" t="str">
        <f>[1]Modeler!C105</f>
        <v>D&amp;C WO1 P062</v>
      </c>
      <c r="D105" s="37">
        <f>[1]Modeler!D105</f>
        <v>45612</v>
      </c>
      <c r="E105" s="29">
        <f>[1]Modeler!F105</f>
        <v>60</v>
      </c>
      <c r="F105" s="29">
        <f>[1]Modeler!G105</f>
        <v>7</v>
      </c>
      <c r="G105" s="32">
        <f>[1]Modeler!H105</f>
        <v>45679</v>
      </c>
      <c r="H105" s="29">
        <f>[1]Modeler!J105</f>
        <v>60</v>
      </c>
      <c r="I105" s="29">
        <f>[1]Modeler!K105</f>
        <v>0</v>
      </c>
      <c r="J105" s="29">
        <f>[1]Modeler!L105</f>
        <v>0</v>
      </c>
      <c r="K105" s="29" t="str">
        <f>[1]Modeler!M105</f>
        <v/>
      </c>
      <c r="L105" s="32">
        <f>[1]Modeler!N105</f>
        <v>0</v>
      </c>
      <c r="M105" s="29">
        <f>[1]Modeler!O105</f>
        <v>0</v>
      </c>
      <c r="N105" s="34">
        <f>[1]Modeler!P105</f>
        <v>0</v>
      </c>
      <c r="O105" s="32">
        <f>[1]Modeler!Q105</f>
        <v>0</v>
      </c>
      <c r="P105" s="29">
        <f>[1]Modeler!R105</f>
        <v>0</v>
      </c>
      <c r="Q105" s="34">
        <f>[1]Modeler!S105</f>
        <v>0</v>
      </c>
      <c r="R105" s="29">
        <f>[1]Modeler!T105</f>
        <v>0</v>
      </c>
      <c r="S105" s="29">
        <f>[1]Modeler!U105</f>
        <v>0</v>
      </c>
      <c r="T105" s="32">
        <f>[1]Modeler!V105</f>
        <v>0</v>
      </c>
      <c r="U105" s="29">
        <f>[1]Modeler!W105</f>
        <v>0</v>
      </c>
      <c r="V105" s="29">
        <f>[1]Modeler!X105</f>
        <v>0</v>
      </c>
      <c r="W105" s="32">
        <f>[1]Modeler!Y105</f>
        <v>0</v>
      </c>
      <c r="X105" s="29">
        <f>[1]Modeler!Z105</f>
        <v>0</v>
      </c>
      <c r="Y105" s="29">
        <f>[1]Modeler!AA105</f>
        <v>0</v>
      </c>
      <c r="Z105" s="32">
        <f>[1]Modeler!AB105</f>
        <v>0</v>
      </c>
      <c r="AA105" s="29">
        <f>[1]Modeler!AC105</f>
        <v>0</v>
      </c>
      <c r="AB105" s="29">
        <f>[1]Modeler!AD105</f>
        <v>0</v>
      </c>
      <c r="AC105" s="32">
        <f>[1]Modeler!AE105</f>
        <v>0</v>
      </c>
      <c r="AD105" s="29">
        <f>[1]Modeler!AF105</f>
        <v>0</v>
      </c>
      <c r="AE105" s="34">
        <f>[1]Modeler!AG105</f>
        <v>0</v>
      </c>
    </row>
    <row r="106" spans="1:31" x14ac:dyDescent="0.2">
      <c r="A106" s="29">
        <f>[1]Modeler!A106</f>
        <v>0</v>
      </c>
      <c r="B106" s="29">
        <f>[1]Modeler!B106</f>
        <v>0</v>
      </c>
      <c r="C106" s="29" t="str">
        <f>[1]Modeler!C106</f>
        <v>Equip P062</v>
      </c>
      <c r="D106" s="37">
        <f>[1]Modeler!D106</f>
        <v>45677</v>
      </c>
      <c r="E106" s="29">
        <f>[1]Modeler!F106</f>
        <v>30</v>
      </c>
      <c r="F106" s="29" t="str">
        <f>[1]Modeler!G106</f>
        <v/>
      </c>
      <c r="G106" s="32">
        <f>[1]Modeler!H106</f>
        <v>0</v>
      </c>
      <c r="H106" s="29">
        <f>[1]Modeler!J106</f>
        <v>0</v>
      </c>
      <c r="I106" s="29">
        <f>[1]Modeler!K106</f>
        <v>0</v>
      </c>
      <c r="J106" s="29">
        <f>[1]Modeler!L106</f>
        <v>0</v>
      </c>
      <c r="K106" s="29" t="str">
        <f>[1]Modeler!M106</f>
        <v/>
      </c>
      <c r="L106" s="32">
        <f>[1]Modeler!N106</f>
        <v>0</v>
      </c>
      <c r="M106" s="29">
        <f>[1]Modeler!O106</f>
        <v>0</v>
      </c>
      <c r="N106" s="34">
        <f>[1]Modeler!P106</f>
        <v>0</v>
      </c>
      <c r="O106" s="32">
        <f>[1]Modeler!Q106</f>
        <v>0</v>
      </c>
      <c r="P106" s="29">
        <f>[1]Modeler!R106</f>
        <v>0</v>
      </c>
      <c r="Q106" s="34">
        <f>[1]Modeler!S106</f>
        <v>0</v>
      </c>
      <c r="R106" s="29">
        <f>[1]Modeler!T106</f>
        <v>0</v>
      </c>
      <c r="S106" s="29">
        <f>[1]Modeler!U106</f>
        <v>0</v>
      </c>
      <c r="T106" s="32">
        <f>[1]Modeler!V106</f>
        <v>0</v>
      </c>
      <c r="U106" s="29">
        <f>[1]Modeler!W106</f>
        <v>0</v>
      </c>
      <c r="V106" s="29">
        <f>[1]Modeler!X106</f>
        <v>0</v>
      </c>
      <c r="W106" s="32">
        <f>[1]Modeler!Y106</f>
        <v>0</v>
      </c>
      <c r="X106" s="29">
        <f>[1]Modeler!Z106</f>
        <v>0</v>
      </c>
      <c r="Y106" s="29">
        <f>[1]Modeler!AA106</f>
        <v>0</v>
      </c>
      <c r="Z106" s="32">
        <f>[1]Modeler!AB106</f>
        <v>0</v>
      </c>
      <c r="AA106" s="29">
        <f>[1]Modeler!AC106</f>
        <v>0</v>
      </c>
      <c r="AB106" s="29">
        <f>[1]Modeler!AD106</f>
        <v>0</v>
      </c>
      <c r="AC106" s="32">
        <f>[1]Modeler!AE106</f>
        <v>0</v>
      </c>
      <c r="AD106" s="29">
        <f>[1]Modeler!AF106</f>
        <v>0</v>
      </c>
      <c r="AE106" s="34">
        <f>[1]Modeler!AG106</f>
        <v>0</v>
      </c>
    </row>
    <row r="107" spans="1:31" x14ac:dyDescent="0.2">
      <c r="A107" s="29">
        <f>[1]Modeler!A107</f>
        <v>0</v>
      </c>
      <c r="B107" s="29">
        <f>[1]Modeler!B107</f>
        <v>0</v>
      </c>
      <c r="C107" s="29" t="str">
        <f>[1]Modeler!C107</f>
        <v>D&amp;C WO1 P072</v>
      </c>
      <c r="D107" s="37">
        <f>[1]Modeler!D107</f>
        <v>45677</v>
      </c>
      <c r="E107" s="29">
        <f>[1]Modeler!F107</f>
        <v>60</v>
      </c>
      <c r="F107" s="29">
        <f>[1]Modeler!G107</f>
        <v>7</v>
      </c>
      <c r="G107" s="32">
        <f>[1]Modeler!H107</f>
        <v>45744</v>
      </c>
      <c r="H107" s="29">
        <f>[1]Modeler!J107</f>
        <v>60</v>
      </c>
      <c r="I107" s="29">
        <f>[1]Modeler!K107</f>
        <v>0</v>
      </c>
      <c r="J107" s="29">
        <f>[1]Modeler!L107</f>
        <v>0</v>
      </c>
      <c r="K107" s="29" t="str">
        <f>[1]Modeler!M107</f>
        <v/>
      </c>
      <c r="L107" s="32">
        <f>[1]Modeler!N107</f>
        <v>0</v>
      </c>
      <c r="M107" s="29">
        <f>[1]Modeler!O107</f>
        <v>0</v>
      </c>
      <c r="N107" s="34">
        <f>[1]Modeler!P107</f>
        <v>0</v>
      </c>
      <c r="O107" s="32">
        <f>[1]Modeler!Q107</f>
        <v>0</v>
      </c>
      <c r="P107" s="29">
        <f>[1]Modeler!R107</f>
        <v>0</v>
      </c>
      <c r="Q107" s="34">
        <f>[1]Modeler!S107</f>
        <v>0</v>
      </c>
      <c r="R107" s="29">
        <f>[1]Modeler!T107</f>
        <v>0</v>
      </c>
      <c r="S107" s="29">
        <f>[1]Modeler!U107</f>
        <v>0</v>
      </c>
      <c r="T107" s="32">
        <f>[1]Modeler!V107</f>
        <v>0</v>
      </c>
      <c r="U107" s="29">
        <f>[1]Modeler!W107</f>
        <v>0</v>
      </c>
      <c r="V107" s="29">
        <f>[1]Modeler!X107</f>
        <v>0</v>
      </c>
      <c r="W107" s="32">
        <f>[1]Modeler!Y107</f>
        <v>0</v>
      </c>
      <c r="X107" s="29">
        <f>[1]Modeler!Z107</f>
        <v>0</v>
      </c>
      <c r="Y107" s="29">
        <f>[1]Modeler!AA107</f>
        <v>0</v>
      </c>
      <c r="Z107" s="32">
        <f>[1]Modeler!AB107</f>
        <v>0</v>
      </c>
      <c r="AA107" s="29">
        <f>[1]Modeler!AC107</f>
        <v>0</v>
      </c>
      <c r="AB107" s="29">
        <f>[1]Modeler!AD107</f>
        <v>0</v>
      </c>
      <c r="AC107" s="32">
        <f>[1]Modeler!AE107</f>
        <v>0</v>
      </c>
      <c r="AD107" s="29">
        <f>[1]Modeler!AF107</f>
        <v>0</v>
      </c>
      <c r="AE107" s="34">
        <f>[1]Modeler!AG107</f>
        <v>0</v>
      </c>
    </row>
    <row r="108" spans="1:31" x14ac:dyDescent="0.2">
      <c r="A108" s="29">
        <f>[1]Modeler!A108</f>
        <v>0</v>
      </c>
      <c r="B108" s="29">
        <f>[1]Modeler!B108</f>
        <v>0</v>
      </c>
      <c r="C108" s="29" t="str">
        <f>[1]Modeler!C108</f>
        <v>Equip P072</v>
      </c>
      <c r="D108" s="37">
        <f>[1]Modeler!D108</f>
        <v>45742</v>
      </c>
      <c r="E108" s="29">
        <f>[1]Modeler!F108</f>
        <v>30</v>
      </c>
      <c r="F108" s="29" t="str">
        <f>[1]Modeler!G108</f>
        <v/>
      </c>
      <c r="G108" s="32">
        <f>[1]Modeler!H108</f>
        <v>0</v>
      </c>
      <c r="H108" s="29">
        <f>[1]Modeler!J108</f>
        <v>0</v>
      </c>
      <c r="I108" s="29">
        <f>[1]Modeler!K108</f>
        <v>0</v>
      </c>
      <c r="J108" s="29">
        <f>[1]Modeler!L108</f>
        <v>0</v>
      </c>
      <c r="K108" s="29" t="str">
        <f>[1]Modeler!M108</f>
        <v/>
      </c>
      <c r="L108" s="32">
        <f>[1]Modeler!N108</f>
        <v>0</v>
      </c>
      <c r="M108" s="29">
        <f>[1]Modeler!O108</f>
        <v>0</v>
      </c>
      <c r="N108" s="34">
        <f>[1]Modeler!P108</f>
        <v>0</v>
      </c>
      <c r="O108" s="32">
        <f>[1]Modeler!Q108</f>
        <v>0</v>
      </c>
      <c r="P108" s="29">
        <f>[1]Modeler!R108</f>
        <v>0</v>
      </c>
      <c r="Q108" s="34">
        <f>[1]Modeler!S108</f>
        <v>0</v>
      </c>
      <c r="R108" s="29">
        <f>[1]Modeler!T108</f>
        <v>0</v>
      </c>
      <c r="S108" s="29">
        <f>[1]Modeler!U108</f>
        <v>0</v>
      </c>
      <c r="T108" s="32">
        <f>[1]Modeler!V108</f>
        <v>0</v>
      </c>
      <c r="U108" s="29">
        <f>[1]Modeler!W108</f>
        <v>0</v>
      </c>
      <c r="V108" s="29">
        <f>[1]Modeler!X108</f>
        <v>0</v>
      </c>
      <c r="W108" s="32">
        <f>[1]Modeler!Y108</f>
        <v>0</v>
      </c>
      <c r="X108" s="29">
        <f>[1]Modeler!Z108</f>
        <v>0</v>
      </c>
      <c r="Y108" s="29">
        <f>[1]Modeler!AA108</f>
        <v>0</v>
      </c>
      <c r="Z108" s="32">
        <f>[1]Modeler!AB108</f>
        <v>0</v>
      </c>
      <c r="AA108" s="29">
        <f>[1]Modeler!AC108</f>
        <v>0</v>
      </c>
      <c r="AB108" s="29">
        <f>[1]Modeler!AD108</f>
        <v>0</v>
      </c>
      <c r="AC108" s="32">
        <f>[1]Modeler!AE108</f>
        <v>0</v>
      </c>
      <c r="AD108" s="29">
        <f>[1]Modeler!AF108</f>
        <v>0</v>
      </c>
      <c r="AE108" s="34">
        <f>[1]Modeler!AG108</f>
        <v>0</v>
      </c>
    </row>
    <row r="109" spans="1:31" x14ac:dyDescent="0.2">
      <c r="A109" s="29">
        <f>[1]Modeler!A109</f>
        <v>0</v>
      </c>
      <c r="B109" s="29">
        <f>[1]Modeler!B109</f>
        <v>0</v>
      </c>
      <c r="C109" s="29" t="str">
        <f>[1]Modeler!C109</f>
        <v>D&amp;C WO1 N082</v>
      </c>
      <c r="D109" s="37">
        <f>[1]Modeler!D109</f>
        <v>45742</v>
      </c>
      <c r="E109" s="29">
        <f>[1]Modeler!F109</f>
        <v>60</v>
      </c>
      <c r="F109" s="29">
        <f>[1]Modeler!G109</f>
        <v>7</v>
      </c>
      <c r="G109" s="32">
        <f>[1]Modeler!H109</f>
        <v>45809</v>
      </c>
      <c r="H109" s="29">
        <f>[1]Modeler!J109</f>
        <v>60</v>
      </c>
      <c r="I109" s="29">
        <f>[1]Modeler!K109</f>
        <v>0</v>
      </c>
      <c r="J109" s="29">
        <f>[1]Modeler!L109</f>
        <v>0</v>
      </c>
      <c r="K109" s="29" t="str">
        <f>[1]Modeler!M109</f>
        <v/>
      </c>
      <c r="L109" s="32">
        <f>[1]Modeler!N109</f>
        <v>0</v>
      </c>
      <c r="M109" s="29">
        <f>[1]Modeler!O109</f>
        <v>0</v>
      </c>
      <c r="N109" s="34">
        <f>[1]Modeler!P109</f>
        <v>0</v>
      </c>
      <c r="O109" s="32">
        <f>[1]Modeler!Q109</f>
        <v>0</v>
      </c>
      <c r="P109" s="29">
        <f>[1]Modeler!R109</f>
        <v>0</v>
      </c>
      <c r="Q109" s="34">
        <f>[1]Modeler!S109</f>
        <v>0</v>
      </c>
      <c r="R109" s="29">
        <f>[1]Modeler!T109</f>
        <v>0</v>
      </c>
      <c r="S109" s="29">
        <f>[1]Modeler!U109</f>
        <v>0</v>
      </c>
      <c r="T109" s="32">
        <f>[1]Modeler!V109</f>
        <v>0</v>
      </c>
      <c r="U109" s="29">
        <f>[1]Modeler!W109</f>
        <v>0</v>
      </c>
      <c r="V109" s="29">
        <f>[1]Modeler!X109</f>
        <v>0</v>
      </c>
      <c r="W109" s="32">
        <f>[1]Modeler!Y109</f>
        <v>0</v>
      </c>
      <c r="X109" s="29">
        <f>[1]Modeler!Z109</f>
        <v>0</v>
      </c>
      <c r="Y109" s="29">
        <f>[1]Modeler!AA109</f>
        <v>0</v>
      </c>
      <c r="Z109" s="32">
        <f>[1]Modeler!AB109</f>
        <v>0</v>
      </c>
      <c r="AA109" s="29">
        <f>[1]Modeler!AC109</f>
        <v>0</v>
      </c>
      <c r="AB109" s="29">
        <f>[1]Modeler!AD109</f>
        <v>0</v>
      </c>
      <c r="AC109" s="32">
        <f>[1]Modeler!AE109</f>
        <v>0</v>
      </c>
      <c r="AD109" s="29">
        <f>[1]Modeler!AF109</f>
        <v>0</v>
      </c>
      <c r="AE109" s="34">
        <f>[1]Modeler!AG109</f>
        <v>0</v>
      </c>
    </row>
    <row r="110" spans="1:31" x14ac:dyDescent="0.2">
      <c r="A110" s="29">
        <f>[1]Modeler!A110</f>
        <v>0</v>
      </c>
      <c r="B110" s="29">
        <f>[1]Modeler!B110</f>
        <v>0</v>
      </c>
      <c r="C110" s="29" t="str">
        <f>[1]Modeler!C110</f>
        <v>Equip N082</v>
      </c>
      <c r="D110" s="37">
        <f>[1]Modeler!D110</f>
        <v>45807</v>
      </c>
      <c r="E110" s="29">
        <f>[1]Modeler!F110</f>
        <v>30</v>
      </c>
      <c r="F110" s="29" t="str">
        <f>[1]Modeler!G110</f>
        <v/>
      </c>
      <c r="G110" s="32">
        <f>[1]Modeler!H110</f>
        <v>0</v>
      </c>
      <c r="H110" s="29">
        <f>[1]Modeler!J110</f>
        <v>0</v>
      </c>
      <c r="I110" s="29">
        <f>[1]Modeler!K110</f>
        <v>0</v>
      </c>
      <c r="J110" s="29">
        <f>[1]Modeler!L110</f>
        <v>0</v>
      </c>
      <c r="K110" s="29" t="str">
        <f>[1]Modeler!M110</f>
        <v/>
      </c>
      <c r="L110" s="32">
        <f>[1]Modeler!N110</f>
        <v>0</v>
      </c>
      <c r="M110" s="29">
        <f>[1]Modeler!O110</f>
        <v>0</v>
      </c>
      <c r="N110" s="34">
        <f>[1]Modeler!P110</f>
        <v>0</v>
      </c>
      <c r="O110" s="32">
        <f>[1]Modeler!Q110</f>
        <v>0</v>
      </c>
      <c r="P110" s="29">
        <f>[1]Modeler!R110</f>
        <v>0</v>
      </c>
      <c r="Q110" s="34">
        <f>[1]Modeler!S110</f>
        <v>0</v>
      </c>
      <c r="R110" s="29">
        <f>[1]Modeler!T110</f>
        <v>0</v>
      </c>
      <c r="S110" s="29">
        <f>[1]Modeler!U110</f>
        <v>0</v>
      </c>
      <c r="T110" s="32">
        <f>[1]Modeler!V110</f>
        <v>0</v>
      </c>
      <c r="U110" s="29">
        <f>[1]Modeler!W110</f>
        <v>0</v>
      </c>
      <c r="V110" s="29">
        <f>[1]Modeler!X110</f>
        <v>0</v>
      </c>
      <c r="W110" s="32">
        <f>[1]Modeler!Y110</f>
        <v>0</v>
      </c>
      <c r="X110" s="29">
        <f>[1]Modeler!Z110</f>
        <v>0</v>
      </c>
      <c r="Y110" s="29">
        <f>[1]Modeler!AA110</f>
        <v>0</v>
      </c>
      <c r="Z110" s="32">
        <f>[1]Modeler!AB110</f>
        <v>0</v>
      </c>
      <c r="AA110" s="29">
        <f>[1]Modeler!AC110</f>
        <v>0</v>
      </c>
      <c r="AB110" s="29">
        <f>[1]Modeler!AD110</f>
        <v>0</v>
      </c>
      <c r="AC110" s="32">
        <f>[1]Modeler!AE110</f>
        <v>0</v>
      </c>
      <c r="AD110" s="29">
        <f>[1]Modeler!AF110</f>
        <v>0</v>
      </c>
      <c r="AE110" s="34">
        <f>[1]Modeler!AG110</f>
        <v>0</v>
      </c>
    </row>
    <row r="111" spans="1:31" x14ac:dyDescent="0.2">
      <c r="A111" s="29">
        <f>[1]Modeler!A111</f>
        <v>0</v>
      </c>
      <c r="B111" s="29">
        <f>[1]Modeler!B111</f>
        <v>0</v>
      </c>
      <c r="C111" s="29" t="str">
        <f>[1]Modeler!C111</f>
        <v>D&amp;C WO1 N092</v>
      </c>
      <c r="D111" s="37">
        <f>[1]Modeler!D111</f>
        <v>45807</v>
      </c>
      <c r="E111" s="29">
        <f>[1]Modeler!F111</f>
        <v>60</v>
      </c>
      <c r="F111" s="29">
        <f>[1]Modeler!G111</f>
        <v>7</v>
      </c>
      <c r="G111" s="32">
        <f>[1]Modeler!H111</f>
        <v>45874</v>
      </c>
      <c r="H111" s="29">
        <f>[1]Modeler!J111</f>
        <v>60</v>
      </c>
      <c r="I111" s="29">
        <f>[1]Modeler!K111</f>
        <v>0</v>
      </c>
      <c r="J111" s="29">
        <f>[1]Modeler!L111</f>
        <v>0</v>
      </c>
      <c r="K111" s="29" t="str">
        <f>[1]Modeler!M111</f>
        <v/>
      </c>
      <c r="L111" s="32">
        <f>[1]Modeler!N111</f>
        <v>0</v>
      </c>
      <c r="M111" s="29">
        <f>[1]Modeler!O111</f>
        <v>0</v>
      </c>
      <c r="N111" s="34">
        <f>[1]Modeler!P111</f>
        <v>0</v>
      </c>
      <c r="O111" s="32">
        <f>[1]Modeler!Q111</f>
        <v>0</v>
      </c>
      <c r="P111" s="29">
        <f>[1]Modeler!R111</f>
        <v>0</v>
      </c>
      <c r="Q111" s="34">
        <f>[1]Modeler!S111</f>
        <v>0</v>
      </c>
      <c r="R111" s="29">
        <f>[1]Modeler!T111</f>
        <v>0</v>
      </c>
      <c r="S111" s="29">
        <f>[1]Modeler!U111</f>
        <v>0</v>
      </c>
      <c r="T111" s="32">
        <f>[1]Modeler!V111</f>
        <v>0</v>
      </c>
      <c r="U111" s="29">
        <f>[1]Modeler!W111</f>
        <v>0</v>
      </c>
      <c r="V111" s="29">
        <f>[1]Modeler!X111</f>
        <v>0</v>
      </c>
      <c r="W111" s="32">
        <f>[1]Modeler!Y111</f>
        <v>0</v>
      </c>
      <c r="X111" s="29">
        <f>[1]Modeler!Z111</f>
        <v>0</v>
      </c>
      <c r="Y111" s="29">
        <f>[1]Modeler!AA111</f>
        <v>0</v>
      </c>
      <c r="Z111" s="32">
        <f>[1]Modeler!AB111</f>
        <v>0</v>
      </c>
      <c r="AA111" s="29">
        <f>[1]Modeler!AC111</f>
        <v>0</v>
      </c>
      <c r="AB111" s="29">
        <f>[1]Modeler!AD111</f>
        <v>0</v>
      </c>
      <c r="AC111" s="32">
        <f>[1]Modeler!AE111</f>
        <v>0</v>
      </c>
      <c r="AD111" s="29">
        <f>[1]Modeler!AF111</f>
        <v>0</v>
      </c>
      <c r="AE111" s="34">
        <f>[1]Modeler!AG111</f>
        <v>0</v>
      </c>
    </row>
    <row r="112" spans="1:31" x14ac:dyDescent="0.2">
      <c r="A112" s="29">
        <f>[1]Modeler!A112</f>
        <v>0</v>
      </c>
      <c r="B112" s="29">
        <f>[1]Modeler!B112</f>
        <v>0</v>
      </c>
      <c r="C112" s="29" t="str">
        <f>[1]Modeler!C112</f>
        <v>Equip N092</v>
      </c>
      <c r="D112" s="37">
        <f>[1]Modeler!D112</f>
        <v>45872</v>
      </c>
      <c r="E112" s="29">
        <f>[1]Modeler!F112</f>
        <v>30</v>
      </c>
      <c r="F112" s="29" t="str">
        <f>[1]Modeler!G112</f>
        <v/>
      </c>
      <c r="G112" s="32">
        <f>[1]Modeler!H112</f>
        <v>0</v>
      </c>
      <c r="H112" s="29">
        <f>[1]Modeler!J112</f>
        <v>0</v>
      </c>
      <c r="I112" s="29">
        <f>[1]Modeler!K112</f>
        <v>0</v>
      </c>
      <c r="J112" s="29">
        <f>[1]Modeler!L112</f>
        <v>0</v>
      </c>
      <c r="K112" s="29" t="str">
        <f>[1]Modeler!M112</f>
        <v/>
      </c>
      <c r="L112" s="32">
        <f>[1]Modeler!N112</f>
        <v>0</v>
      </c>
      <c r="M112" s="29">
        <f>[1]Modeler!O112</f>
        <v>0</v>
      </c>
      <c r="N112" s="34">
        <f>[1]Modeler!P112</f>
        <v>0</v>
      </c>
      <c r="O112" s="32">
        <f>[1]Modeler!Q112</f>
        <v>0</v>
      </c>
      <c r="P112" s="29">
        <f>[1]Modeler!R112</f>
        <v>0</v>
      </c>
      <c r="Q112" s="34">
        <f>[1]Modeler!S112</f>
        <v>0</v>
      </c>
      <c r="R112" s="29">
        <f>[1]Modeler!T112</f>
        <v>0</v>
      </c>
      <c r="S112" s="29">
        <f>[1]Modeler!U112</f>
        <v>0</v>
      </c>
      <c r="T112" s="32">
        <f>[1]Modeler!V112</f>
        <v>0</v>
      </c>
      <c r="U112" s="29">
        <f>[1]Modeler!W112</f>
        <v>0</v>
      </c>
      <c r="V112" s="29">
        <f>[1]Modeler!X112</f>
        <v>0</v>
      </c>
      <c r="W112" s="32">
        <f>[1]Modeler!Y112</f>
        <v>0</v>
      </c>
      <c r="X112" s="29">
        <f>[1]Modeler!Z112</f>
        <v>0</v>
      </c>
      <c r="Y112" s="29">
        <f>[1]Modeler!AA112</f>
        <v>0</v>
      </c>
      <c r="Z112" s="32">
        <f>[1]Modeler!AB112</f>
        <v>0</v>
      </c>
      <c r="AA112" s="29">
        <f>[1]Modeler!AC112</f>
        <v>0</v>
      </c>
      <c r="AB112" s="29">
        <f>[1]Modeler!AD112</f>
        <v>0</v>
      </c>
      <c r="AC112" s="32">
        <f>[1]Modeler!AE112</f>
        <v>0</v>
      </c>
      <c r="AD112" s="29">
        <f>[1]Modeler!AF112</f>
        <v>0</v>
      </c>
      <c r="AE112" s="34">
        <f>[1]Modeler!AG112</f>
        <v>0</v>
      </c>
    </row>
    <row r="113" spans="1:31" x14ac:dyDescent="0.2">
      <c r="A113" s="29">
        <f>[1]Modeler!A113</f>
        <v>0</v>
      </c>
      <c r="B113" s="29">
        <f>[1]Modeler!B113</f>
        <v>0</v>
      </c>
      <c r="C113" s="29" t="str">
        <f>[1]Modeler!C113</f>
        <v>Pad Construction</v>
      </c>
      <c r="D113" s="37">
        <f>[1]Modeler!D113</f>
        <v>45768</v>
      </c>
      <c r="E113" s="29">
        <f>[1]Modeler!F113</f>
        <v>90</v>
      </c>
      <c r="F113" s="29" t="str">
        <f>[1]Modeler!G113</f>
        <v/>
      </c>
      <c r="G113" s="32">
        <f>[1]Modeler!H113</f>
        <v>0</v>
      </c>
      <c r="H113" s="29">
        <f>[1]Modeler!J113</f>
        <v>0</v>
      </c>
      <c r="I113" s="29">
        <f>[1]Modeler!K113</f>
        <v>0</v>
      </c>
      <c r="J113" s="29">
        <f>[1]Modeler!L113</f>
        <v>0</v>
      </c>
      <c r="K113" s="29" t="str">
        <f>[1]Modeler!M113</f>
        <v/>
      </c>
      <c r="L113" s="32">
        <f>[1]Modeler!N113</f>
        <v>0</v>
      </c>
      <c r="M113" s="29">
        <f>[1]Modeler!O113</f>
        <v>0</v>
      </c>
      <c r="N113" s="34">
        <f>[1]Modeler!P113</f>
        <v>0</v>
      </c>
      <c r="O113" s="32">
        <f>[1]Modeler!Q113</f>
        <v>0</v>
      </c>
      <c r="P113" s="29">
        <f>[1]Modeler!R113</f>
        <v>0</v>
      </c>
      <c r="Q113" s="34">
        <f>[1]Modeler!S113</f>
        <v>0</v>
      </c>
      <c r="R113" s="29">
        <f>[1]Modeler!T113</f>
        <v>0</v>
      </c>
      <c r="S113" s="29">
        <f>[1]Modeler!U113</f>
        <v>0</v>
      </c>
      <c r="T113" s="32">
        <f>[1]Modeler!V113</f>
        <v>0</v>
      </c>
      <c r="U113" s="29">
        <f>[1]Modeler!W113</f>
        <v>0</v>
      </c>
      <c r="V113" s="29">
        <f>[1]Modeler!X113</f>
        <v>0</v>
      </c>
      <c r="W113" s="32">
        <f>[1]Modeler!Y113</f>
        <v>0</v>
      </c>
      <c r="X113" s="29">
        <f>[1]Modeler!Z113</f>
        <v>0</v>
      </c>
      <c r="Y113" s="29">
        <f>[1]Modeler!AA113</f>
        <v>0</v>
      </c>
      <c r="Z113" s="32">
        <f>[1]Modeler!AB113</f>
        <v>0</v>
      </c>
      <c r="AA113" s="29">
        <f>[1]Modeler!AC113</f>
        <v>0</v>
      </c>
      <c r="AB113" s="29">
        <f>[1]Modeler!AD113</f>
        <v>0</v>
      </c>
      <c r="AC113" s="32">
        <f>[1]Modeler!AE113</f>
        <v>0</v>
      </c>
      <c r="AD113" s="29">
        <f>[1]Modeler!AF113</f>
        <v>0</v>
      </c>
      <c r="AE113" s="34">
        <f>[1]Modeler!AG113</f>
        <v>0</v>
      </c>
    </row>
    <row r="114" spans="1:31" x14ac:dyDescent="0.2">
      <c r="A114" s="29">
        <f>[1]Modeler!A114</f>
        <v>0</v>
      </c>
      <c r="B114" s="29">
        <f>[1]Modeler!B114</f>
        <v>0</v>
      </c>
      <c r="C114" s="29" t="str">
        <f>[1]Modeler!C114</f>
        <v>Conductor - WO1 N101, P111, N121</v>
      </c>
      <c r="D114" s="37">
        <f>[1]Modeler!D114</f>
        <v>45778</v>
      </c>
      <c r="E114" s="29">
        <f>[1]Modeler!F114</f>
        <v>90</v>
      </c>
      <c r="F114" s="29" t="str">
        <f>[1]Modeler!G114</f>
        <v/>
      </c>
      <c r="G114" s="32">
        <f>[1]Modeler!H114</f>
        <v>0</v>
      </c>
      <c r="H114" s="29">
        <f>[1]Modeler!J114</f>
        <v>0</v>
      </c>
      <c r="I114" s="29">
        <f>[1]Modeler!K114</f>
        <v>0</v>
      </c>
      <c r="J114" s="29">
        <f>[1]Modeler!L114</f>
        <v>0</v>
      </c>
      <c r="K114" s="29" t="str">
        <f>[1]Modeler!M114</f>
        <v/>
      </c>
      <c r="L114" s="32">
        <f>[1]Modeler!N114</f>
        <v>0</v>
      </c>
      <c r="M114" s="29">
        <f>[1]Modeler!O114</f>
        <v>0</v>
      </c>
      <c r="N114" s="34">
        <f>[1]Modeler!P114</f>
        <v>0</v>
      </c>
      <c r="O114" s="32">
        <f>[1]Modeler!Q114</f>
        <v>0</v>
      </c>
      <c r="P114" s="29">
        <f>[1]Modeler!R114</f>
        <v>0</v>
      </c>
      <c r="Q114" s="34">
        <f>[1]Modeler!S114</f>
        <v>0</v>
      </c>
      <c r="R114" s="29">
        <f>[1]Modeler!T114</f>
        <v>0</v>
      </c>
      <c r="S114" s="29">
        <f>[1]Modeler!U114</f>
        <v>0</v>
      </c>
      <c r="T114" s="32">
        <f>[1]Modeler!V114</f>
        <v>0</v>
      </c>
      <c r="U114" s="29">
        <f>[1]Modeler!W114</f>
        <v>0</v>
      </c>
      <c r="V114" s="29">
        <f>[1]Modeler!X114</f>
        <v>0</v>
      </c>
      <c r="W114" s="32">
        <f>[1]Modeler!Y114</f>
        <v>0</v>
      </c>
      <c r="X114" s="29">
        <f>[1]Modeler!Z114</f>
        <v>0</v>
      </c>
      <c r="Y114" s="29">
        <f>[1]Modeler!AA114</f>
        <v>0</v>
      </c>
      <c r="Z114" s="32">
        <f>[1]Modeler!AB114</f>
        <v>0</v>
      </c>
      <c r="AA114" s="29">
        <f>[1]Modeler!AC114</f>
        <v>0</v>
      </c>
      <c r="AB114" s="29">
        <f>[1]Modeler!AD114</f>
        <v>0</v>
      </c>
      <c r="AC114" s="32">
        <f>[1]Modeler!AE114</f>
        <v>0</v>
      </c>
      <c r="AD114" s="29">
        <f>[1]Modeler!AF114</f>
        <v>0</v>
      </c>
      <c r="AE114" s="34">
        <f>[1]Modeler!AG114</f>
        <v>0</v>
      </c>
    </row>
    <row r="115" spans="1:31" x14ac:dyDescent="0.2">
      <c r="A115" s="29">
        <f>[1]Modeler!A115</f>
        <v>0</v>
      </c>
      <c r="B115" s="29">
        <f>[1]Modeler!B115</f>
        <v>0</v>
      </c>
      <c r="C115" s="29" t="str">
        <f>[1]Modeler!C115</f>
        <v>D&amp;C WO1 N101</v>
      </c>
      <c r="D115" s="37">
        <f>[1]Modeler!D115</f>
        <v>45872</v>
      </c>
      <c r="E115" s="29">
        <f>[1]Modeler!F115</f>
        <v>35</v>
      </c>
      <c r="F115" s="29">
        <f>[1]Modeler!G115</f>
        <v>5</v>
      </c>
      <c r="G115" s="32">
        <f>[1]Modeler!H115</f>
        <v>45912</v>
      </c>
      <c r="H115" s="29">
        <f>[1]Modeler!J115</f>
        <v>30</v>
      </c>
      <c r="I115" s="29">
        <f>[1]Modeler!K115</f>
        <v>0</v>
      </c>
      <c r="J115" s="29">
        <f>[1]Modeler!L115</f>
        <v>0</v>
      </c>
      <c r="K115" s="29" t="str">
        <f>[1]Modeler!M115</f>
        <v/>
      </c>
      <c r="L115" s="32">
        <f>[1]Modeler!N115</f>
        <v>0</v>
      </c>
      <c r="M115" s="29">
        <f>[1]Modeler!O115</f>
        <v>0</v>
      </c>
      <c r="N115" s="34">
        <f>[1]Modeler!P115</f>
        <v>0</v>
      </c>
      <c r="O115" s="32">
        <f>[1]Modeler!Q115</f>
        <v>0</v>
      </c>
      <c r="P115" s="29">
        <f>[1]Modeler!R115</f>
        <v>0</v>
      </c>
      <c r="Q115" s="34">
        <f>[1]Modeler!S115</f>
        <v>0</v>
      </c>
      <c r="R115" s="29">
        <f>[1]Modeler!T115</f>
        <v>0</v>
      </c>
      <c r="S115" s="29">
        <f>[1]Modeler!U115</f>
        <v>0</v>
      </c>
      <c r="T115" s="32">
        <f>[1]Modeler!V115</f>
        <v>0</v>
      </c>
      <c r="U115" s="29">
        <f>[1]Modeler!W115</f>
        <v>0</v>
      </c>
      <c r="V115" s="29">
        <f>[1]Modeler!X115</f>
        <v>0</v>
      </c>
      <c r="W115" s="32">
        <f>[1]Modeler!Y115</f>
        <v>0</v>
      </c>
      <c r="X115" s="29">
        <f>[1]Modeler!Z115</f>
        <v>0</v>
      </c>
      <c r="Y115" s="29">
        <f>[1]Modeler!AA115</f>
        <v>0</v>
      </c>
      <c r="Z115" s="32">
        <f>[1]Modeler!AB115</f>
        <v>0</v>
      </c>
      <c r="AA115" s="29">
        <f>[1]Modeler!AC115</f>
        <v>0</v>
      </c>
      <c r="AB115" s="29">
        <f>[1]Modeler!AD115</f>
        <v>0</v>
      </c>
      <c r="AC115" s="32">
        <f>[1]Modeler!AE115</f>
        <v>0</v>
      </c>
      <c r="AD115" s="29">
        <f>[1]Modeler!AF115</f>
        <v>0</v>
      </c>
      <c r="AE115" s="34">
        <f>[1]Modeler!AG115</f>
        <v>0</v>
      </c>
    </row>
    <row r="116" spans="1:31" x14ac:dyDescent="0.2">
      <c r="A116" s="29">
        <f>[1]Modeler!A116</f>
        <v>0</v>
      </c>
      <c r="B116" s="29">
        <f>[1]Modeler!B116</f>
        <v>0</v>
      </c>
      <c r="C116" s="29" t="str">
        <f>[1]Modeler!C116</f>
        <v>Equip N101</v>
      </c>
      <c r="D116" s="37">
        <f>[1]Modeler!D116</f>
        <v>45912</v>
      </c>
      <c r="E116" s="29">
        <f>[1]Modeler!F116</f>
        <v>30</v>
      </c>
      <c r="F116" s="29" t="str">
        <f>[1]Modeler!G116</f>
        <v/>
      </c>
      <c r="G116" s="32">
        <f>[1]Modeler!H116</f>
        <v>0</v>
      </c>
      <c r="H116" s="29">
        <f>[1]Modeler!J116</f>
        <v>0</v>
      </c>
      <c r="I116" s="29">
        <f>[1]Modeler!K116</f>
        <v>0</v>
      </c>
      <c r="J116" s="29">
        <f>[1]Modeler!L116</f>
        <v>0</v>
      </c>
      <c r="K116" s="29" t="str">
        <f>[1]Modeler!M116</f>
        <v/>
      </c>
      <c r="L116" s="32">
        <f>[1]Modeler!N116</f>
        <v>0</v>
      </c>
      <c r="M116" s="29">
        <f>[1]Modeler!O116</f>
        <v>0</v>
      </c>
      <c r="N116" s="34">
        <f>[1]Modeler!P116</f>
        <v>0</v>
      </c>
      <c r="O116" s="32">
        <f>[1]Modeler!Q116</f>
        <v>0</v>
      </c>
      <c r="P116" s="29">
        <f>[1]Modeler!R116</f>
        <v>0</v>
      </c>
      <c r="Q116" s="34">
        <f>[1]Modeler!S116</f>
        <v>0</v>
      </c>
      <c r="R116" s="29">
        <f>[1]Modeler!T116</f>
        <v>0</v>
      </c>
      <c r="S116" s="29">
        <f>[1]Modeler!U116</f>
        <v>0</v>
      </c>
      <c r="T116" s="32">
        <f>[1]Modeler!V116</f>
        <v>0</v>
      </c>
      <c r="U116" s="29">
        <f>[1]Modeler!W116</f>
        <v>0</v>
      </c>
      <c r="V116" s="29">
        <f>[1]Modeler!X116</f>
        <v>0</v>
      </c>
      <c r="W116" s="32">
        <f>[1]Modeler!Y116</f>
        <v>0</v>
      </c>
      <c r="X116" s="29">
        <f>[1]Modeler!Z116</f>
        <v>0</v>
      </c>
      <c r="Y116" s="29">
        <f>[1]Modeler!AA116</f>
        <v>0</v>
      </c>
      <c r="Z116" s="32">
        <f>[1]Modeler!AB116</f>
        <v>0</v>
      </c>
      <c r="AA116" s="29">
        <f>[1]Modeler!AC116</f>
        <v>0</v>
      </c>
      <c r="AB116" s="29">
        <f>[1]Modeler!AD116</f>
        <v>0</v>
      </c>
      <c r="AC116" s="32">
        <f>[1]Modeler!AE116</f>
        <v>0</v>
      </c>
      <c r="AD116" s="29">
        <f>[1]Modeler!AF116</f>
        <v>0</v>
      </c>
      <c r="AE116" s="34">
        <f>[1]Modeler!AG116</f>
        <v>0</v>
      </c>
    </row>
    <row r="117" spans="1:31" x14ac:dyDescent="0.2">
      <c r="A117" s="29">
        <f>[1]Modeler!A117</f>
        <v>0</v>
      </c>
      <c r="B117" s="29">
        <f>[1]Modeler!B117</f>
        <v>0</v>
      </c>
      <c r="C117" s="29" t="str">
        <f>[1]Modeler!C117</f>
        <v>D&amp;C WO1 P111</v>
      </c>
      <c r="D117" s="37">
        <f>[1]Modeler!D117</f>
        <v>45912</v>
      </c>
      <c r="E117" s="29">
        <f>[1]Modeler!F117</f>
        <v>35</v>
      </c>
      <c r="F117" s="29">
        <f>[1]Modeler!G117</f>
        <v>5</v>
      </c>
      <c r="G117" s="32">
        <f>[1]Modeler!H117</f>
        <v>45952</v>
      </c>
      <c r="H117" s="29">
        <f>[1]Modeler!J117</f>
        <v>30</v>
      </c>
      <c r="I117" s="29">
        <f>[1]Modeler!K117</f>
        <v>0</v>
      </c>
      <c r="J117" s="29">
        <f>[1]Modeler!L117</f>
        <v>0</v>
      </c>
      <c r="K117" s="29" t="str">
        <f>[1]Modeler!M117</f>
        <v/>
      </c>
      <c r="L117" s="32">
        <f>[1]Modeler!N117</f>
        <v>0</v>
      </c>
      <c r="M117" s="29">
        <f>[1]Modeler!O117</f>
        <v>0</v>
      </c>
      <c r="N117" s="34">
        <f>[1]Modeler!P117</f>
        <v>0</v>
      </c>
      <c r="O117" s="32">
        <f>[1]Modeler!Q117</f>
        <v>0</v>
      </c>
      <c r="P117" s="29">
        <f>[1]Modeler!R117</f>
        <v>0</v>
      </c>
      <c r="Q117" s="34">
        <f>[1]Modeler!S117</f>
        <v>0</v>
      </c>
      <c r="R117" s="29">
        <f>[1]Modeler!T117</f>
        <v>0</v>
      </c>
      <c r="S117" s="29">
        <f>[1]Modeler!U117</f>
        <v>0</v>
      </c>
      <c r="T117" s="32">
        <f>[1]Modeler!V117</f>
        <v>0</v>
      </c>
      <c r="U117" s="29">
        <f>[1]Modeler!W117</f>
        <v>0</v>
      </c>
      <c r="V117" s="29">
        <f>[1]Modeler!X117</f>
        <v>0</v>
      </c>
      <c r="W117" s="32">
        <f>[1]Modeler!Y117</f>
        <v>0</v>
      </c>
      <c r="X117" s="29">
        <f>[1]Modeler!Z117</f>
        <v>0</v>
      </c>
      <c r="Y117" s="29">
        <f>[1]Modeler!AA117</f>
        <v>0</v>
      </c>
      <c r="Z117" s="32">
        <f>[1]Modeler!AB117</f>
        <v>0</v>
      </c>
      <c r="AA117" s="29">
        <f>[1]Modeler!AC117</f>
        <v>0</v>
      </c>
      <c r="AB117" s="29">
        <f>[1]Modeler!AD117</f>
        <v>0</v>
      </c>
      <c r="AC117" s="32">
        <f>[1]Modeler!AE117</f>
        <v>0</v>
      </c>
      <c r="AD117" s="29">
        <f>[1]Modeler!AF117</f>
        <v>0</v>
      </c>
      <c r="AE117" s="34">
        <f>[1]Modeler!AG117</f>
        <v>0</v>
      </c>
    </row>
    <row r="118" spans="1:31" x14ac:dyDescent="0.2">
      <c r="A118" s="29">
        <f>[1]Modeler!A118</f>
        <v>0</v>
      </c>
      <c r="B118" s="29">
        <f>[1]Modeler!B118</f>
        <v>0</v>
      </c>
      <c r="C118" s="29" t="str">
        <f>[1]Modeler!C118</f>
        <v>Equip P111</v>
      </c>
      <c r="D118" s="37">
        <f>[1]Modeler!D118</f>
        <v>45952</v>
      </c>
      <c r="E118" s="29">
        <f>[1]Modeler!F118</f>
        <v>30</v>
      </c>
      <c r="F118" s="29" t="str">
        <f>[1]Modeler!G118</f>
        <v/>
      </c>
      <c r="G118" s="32">
        <f>[1]Modeler!H118</f>
        <v>0</v>
      </c>
      <c r="H118" s="29">
        <f>[1]Modeler!J118</f>
        <v>0</v>
      </c>
      <c r="I118" s="29">
        <f>[1]Modeler!K118</f>
        <v>0</v>
      </c>
      <c r="J118" s="29">
        <f>[1]Modeler!L118</f>
        <v>0</v>
      </c>
      <c r="K118" s="29" t="str">
        <f>[1]Modeler!M118</f>
        <v/>
      </c>
      <c r="L118" s="32">
        <f>[1]Modeler!N118</f>
        <v>0</v>
      </c>
      <c r="M118" s="29">
        <f>[1]Modeler!O118</f>
        <v>0</v>
      </c>
      <c r="N118" s="34">
        <f>[1]Modeler!P118</f>
        <v>0</v>
      </c>
      <c r="O118" s="32">
        <f>[1]Modeler!Q118</f>
        <v>0</v>
      </c>
      <c r="P118" s="29">
        <f>[1]Modeler!R118</f>
        <v>0</v>
      </c>
      <c r="Q118" s="34">
        <f>[1]Modeler!S118</f>
        <v>0</v>
      </c>
      <c r="R118" s="29">
        <f>[1]Modeler!T118</f>
        <v>0</v>
      </c>
      <c r="S118" s="29">
        <f>[1]Modeler!U118</f>
        <v>0</v>
      </c>
      <c r="T118" s="32">
        <f>[1]Modeler!V118</f>
        <v>0</v>
      </c>
      <c r="U118" s="29">
        <f>[1]Modeler!W118</f>
        <v>0</v>
      </c>
      <c r="V118" s="29">
        <f>[1]Modeler!X118</f>
        <v>0</v>
      </c>
      <c r="W118" s="32">
        <f>[1]Modeler!Y118</f>
        <v>0</v>
      </c>
      <c r="X118" s="29">
        <f>[1]Modeler!Z118</f>
        <v>0</v>
      </c>
      <c r="Y118" s="29">
        <f>[1]Modeler!AA118</f>
        <v>0</v>
      </c>
      <c r="Z118" s="32">
        <f>[1]Modeler!AB118</f>
        <v>0</v>
      </c>
      <c r="AA118" s="29">
        <f>[1]Modeler!AC118</f>
        <v>0</v>
      </c>
      <c r="AB118" s="29">
        <f>[1]Modeler!AD118</f>
        <v>0</v>
      </c>
      <c r="AC118" s="32">
        <f>[1]Modeler!AE118</f>
        <v>0</v>
      </c>
      <c r="AD118" s="29">
        <f>[1]Modeler!AF118</f>
        <v>0</v>
      </c>
      <c r="AE118" s="34">
        <f>[1]Modeler!AG118</f>
        <v>0</v>
      </c>
    </row>
    <row r="119" spans="1:31" x14ac:dyDescent="0.2">
      <c r="A119" s="29">
        <f>[1]Modeler!A119</f>
        <v>0</v>
      </c>
      <c r="B119" s="29">
        <f>[1]Modeler!B119</f>
        <v>0</v>
      </c>
      <c r="C119" s="29" t="str">
        <f>[1]Modeler!C119</f>
        <v>D&amp;C WO1 N121</v>
      </c>
      <c r="D119" s="37">
        <f>[1]Modeler!D119</f>
        <v>45952</v>
      </c>
      <c r="E119" s="29">
        <f>[1]Modeler!F119</f>
        <v>35</v>
      </c>
      <c r="F119" s="29">
        <f>[1]Modeler!G119</f>
        <v>5</v>
      </c>
      <c r="G119" s="32">
        <f>[1]Modeler!H119</f>
        <v>45992</v>
      </c>
      <c r="H119" s="29">
        <f>[1]Modeler!J119</f>
        <v>30</v>
      </c>
      <c r="I119" s="29">
        <f>[1]Modeler!K119</f>
        <v>0</v>
      </c>
      <c r="J119" s="29">
        <f>[1]Modeler!L119</f>
        <v>0</v>
      </c>
      <c r="K119" s="29" t="str">
        <f>[1]Modeler!M119</f>
        <v/>
      </c>
      <c r="L119" s="32">
        <f>[1]Modeler!N119</f>
        <v>0</v>
      </c>
      <c r="M119" s="29">
        <f>[1]Modeler!O119</f>
        <v>0</v>
      </c>
      <c r="N119" s="34">
        <f>[1]Modeler!P119</f>
        <v>0</v>
      </c>
      <c r="O119" s="32">
        <f>[1]Modeler!Q119</f>
        <v>0</v>
      </c>
      <c r="P119" s="29">
        <f>[1]Modeler!R119</f>
        <v>0</v>
      </c>
      <c r="Q119" s="34">
        <f>[1]Modeler!S119</f>
        <v>0</v>
      </c>
      <c r="R119" s="29">
        <f>[1]Modeler!T119</f>
        <v>0</v>
      </c>
      <c r="S119" s="29">
        <f>[1]Modeler!U119</f>
        <v>0</v>
      </c>
      <c r="T119" s="32">
        <f>[1]Modeler!V119</f>
        <v>0</v>
      </c>
      <c r="U119" s="29">
        <f>[1]Modeler!W119</f>
        <v>0</v>
      </c>
      <c r="V119" s="29">
        <f>[1]Modeler!X119</f>
        <v>0</v>
      </c>
      <c r="W119" s="32">
        <f>[1]Modeler!Y119</f>
        <v>0</v>
      </c>
      <c r="X119" s="29">
        <f>[1]Modeler!Z119</f>
        <v>0</v>
      </c>
      <c r="Y119" s="29">
        <f>[1]Modeler!AA119</f>
        <v>0</v>
      </c>
      <c r="Z119" s="32">
        <f>[1]Modeler!AB119</f>
        <v>0</v>
      </c>
      <c r="AA119" s="29">
        <f>[1]Modeler!AC119</f>
        <v>0</v>
      </c>
      <c r="AB119" s="29">
        <f>[1]Modeler!AD119</f>
        <v>0</v>
      </c>
      <c r="AC119" s="32">
        <f>[1]Modeler!AE119</f>
        <v>0</v>
      </c>
      <c r="AD119" s="29">
        <f>[1]Modeler!AF119</f>
        <v>0</v>
      </c>
      <c r="AE119" s="34">
        <f>[1]Modeler!AG119</f>
        <v>0</v>
      </c>
    </row>
    <row r="120" spans="1:31" x14ac:dyDescent="0.2">
      <c r="A120" s="29">
        <f>[1]Modeler!A120</f>
        <v>0</v>
      </c>
      <c r="B120" s="29">
        <f>[1]Modeler!B120</f>
        <v>0</v>
      </c>
      <c r="C120" s="29" t="str">
        <f>[1]Modeler!C120</f>
        <v>Equip N121</v>
      </c>
      <c r="D120" s="37">
        <f>[1]Modeler!D120</f>
        <v>45992</v>
      </c>
      <c r="E120" s="29">
        <f>[1]Modeler!F120</f>
        <v>30</v>
      </c>
      <c r="F120" s="29" t="str">
        <f>[1]Modeler!G120</f>
        <v/>
      </c>
      <c r="G120" s="32">
        <f>[1]Modeler!H120</f>
        <v>0</v>
      </c>
      <c r="H120" s="29">
        <f>[1]Modeler!J120</f>
        <v>0</v>
      </c>
      <c r="I120" s="29">
        <f>[1]Modeler!K120</f>
        <v>0</v>
      </c>
      <c r="J120" s="29">
        <f>[1]Modeler!L120</f>
        <v>0</v>
      </c>
      <c r="K120" s="29" t="str">
        <f>[1]Modeler!M120</f>
        <v/>
      </c>
      <c r="L120" s="32">
        <f>[1]Modeler!N120</f>
        <v>0</v>
      </c>
      <c r="M120" s="29">
        <f>[1]Modeler!O120</f>
        <v>0</v>
      </c>
      <c r="N120" s="34">
        <f>[1]Modeler!P120</f>
        <v>0</v>
      </c>
      <c r="O120" s="32">
        <f>[1]Modeler!Q120</f>
        <v>0</v>
      </c>
      <c r="P120" s="29">
        <f>[1]Modeler!R120</f>
        <v>0</v>
      </c>
      <c r="Q120" s="34">
        <f>[1]Modeler!S120</f>
        <v>0</v>
      </c>
      <c r="R120" s="29">
        <f>[1]Modeler!T120</f>
        <v>0</v>
      </c>
      <c r="S120" s="29">
        <f>[1]Modeler!U120</f>
        <v>0</v>
      </c>
      <c r="T120" s="32">
        <f>[1]Modeler!V120</f>
        <v>0</v>
      </c>
      <c r="U120" s="29">
        <f>[1]Modeler!W120</f>
        <v>0</v>
      </c>
      <c r="V120" s="29">
        <f>[1]Modeler!X120</f>
        <v>0</v>
      </c>
      <c r="W120" s="32">
        <f>[1]Modeler!Y120</f>
        <v>0</v>
      </c>
      <c r="X120" s="29">
        <f>[1]Modeler!Z120</f>
        <v>0</v>
      </c>
      <c r="Y120" s="29">
        <f>[1]Modeler!AA120</f>
        <v>0</v>
      </c>
      <c r="Z120" s="32">
        <f>[1]Modeler!AB120</f>
        <v>0</v>
      </c>
      <c r="AA120" s="29">
        <f>[1]Modeler!AC120</f>
        <v>0</v>
      </c>
      <c r="AB120" s="29">
        <f>[1]Modeler!AD120</f>
        <v>0</v>
      </c>
      <c r="AC120" s="32">
        <f>[1]Modeler!AE120</f>
        <v>0</v>
      </c>
      <c r="AD120" s="29">
        <f>[1]Modeler!AF120</f>
        <v>0</v>
      </c>
      <c r="AE120" s="34">
        <f>[1]Modeler!AG120</f>
        <v>0</v>
      </c>
    </row>
    <row r="121" spans="1:31" x14ac:dyDescent="0.2">
      <c r="A121" s="29">
        <f>[1]Modeler!A121</f>
        <v>0</v>
      </c>
      <c r="B121" s="29">
        <f>[1]Modeler!B121</f>
        <v>0</v>
      </c>
      <c r="C121" s="29">
        <f>[1]Modeler!C121</f>
        <v>0</v>
      </c>
      <c r="D121" s="37">
        <f>[1]Modeler!D121</f>
        <v>0</v>
      </c>
      <c r="E121" s="29" t="str">
        <f>[1]Modeler!F121</f>
        <v/>
      </c>
      <c r="F121" s="29" t="str">
        <f>[1]Modeler!G121</f>
        <v/>
      </c>
      <c r="G121" s="32">
        <f>[1]Modeler!H121</f>
        <v>0</v>
      </c>
      <c r="H121" s="29">
        <f>[1]Modeler!J121</f>
        <v>0</v>
      </c>
      <c r="I121" s="29">
        <f>[1]Modeler!K121</f>
        <v>0</v>
      </c>
      <c r="J121" s="29">
        <f>[1]Modeler!L121</f>
        <v>0</v>
      </c>
      <c r="K121" s="29" t="str">
        <f>[1]Modeler!M121</f>
        <v/>
      </c>
      <c r="L121" s="32">
        <f>[1]Modeler!N121</f>
        <v>0</v>
      </c>
      <c r="M121" s="29">
        <f>[1]Modeler!O121</f>
        <v>0</v>
      </c>
      <c r="N121" s="34">
        <f>[1]Modeler!P121</f>
        <v>0</v>
      </c>
      <c r="O121" s="32">
        <f>[1]Modeler!Q121</f>
        <v>0</v>
      </c>
      <c r="P121" s="29">
        <f>[1]Modeler!R121</f>
        <v>0</v>
      </c>
      <c r="Q121" s="34">
        <f>[1]Modeler!S121</f>
        <v>0</v>
      </c>
      <c r="R121" s="29">
        <f>[1]Modeler!T121</f>
        <v>0</v>
      </c>
      <c r="S121" s="29">
        <f>[1]Modeler!U121</f>
        <v>0</v>
      </c>
      <c r="T121" s="32">
        <f>[1]Modeler!V121</f>
        <v>0</v>
      </c>
      <c r="U121" s="29">
        <f>[1]Modeler!W121</f>
        <v>0</v>
      </c>
      <c r="V121" s="29">
        <f>[1]Modeler!X121</f>
        <v>0</v>
      </c>
      <c r="W121" s="32">
        <f>[1]Modeler!Y121</f>
        <v>0</v>
      </c>
      <c r="X121" s="29">
        <f>[1]Modeler!Z121</f>
        <v>0</v>
      </c>
      <c r="Y121" s="29">
        <f>[1]Modeler!AA121</f>
        <v>0</v>
      </c>
      <c r="Z121" s="32">
        <f>[1]Modeler!AB121</f>
        <v>0</v>
      </c>
      <c r="AA121" s="29">
        <f>[1]Modeler!AC121</f>
        <v>0</v>
      </c>
      <c r="AB121" s="29">
        <f>[1]Modeler!AD121</f>
        <v>0</v>
      </c>
      <c r="AC121" s="32">
        <f>[1]Modeler!AE121</f>
        <v>0</v>
      </c>
      <c r="AD121" s="29">
        <f>[1]Modeler!AF121</f>
        <v>0</v>
      </c>
      <c r="AE121" s="34">
        <f>[1]Modeler!AG121</f>
        <v>0</v>
      </c>
    </row>
    <row r="122" spans="1:31" x14ac:dyDescent="0.2">
      <c r="A122" s="29">
        <f>[1]Modeler!A122</f>
        <v>0</v>
      </c>
      <c r="B122" s="29">
        <f>[1]Modeler!B122</f>
        <v>0</v>
      </c>
      <c r="C122" s="29" t="str">
        <f>[1]Modeler!C122</f>
        <v>MIDSTREAM CONSTRUCTION</v>
      </c>
      <c r="D122" s="37">
        <f>[1]Modeler!D122</f>
        <v>45383</v>
      </c>
      <c r="E122" s="29">
        <f>[1]Modeler!F122</f>
        <v>548</v>
      </c>
      <c r="F122" s="29" t="str">
        <f>[1]Modeler!G122</f>
        <v/>
      </c>
      <c r="G122" s="32">
        <f>[1]Modeler!H122</f>
        <v>0</v>
      </c>
      <c r="H122" s="29">
        <f>[1]Modeler!J122</f>
        <v>0</v>
      </c>
      <c r="I122" s="29">
        <f>[1]Modeler!K122</f>
        <v>0</v>
      </c>
      <c r="J122" s="29">
        <f>[1]Modeler!L122</f>
        <v>0</v>
      </c>
      <c r="K122" s="29" t="str">
        <f>[1]Modeler!M122</f>
        <v/>
      </c>
      <c r="L122" s="32">
        <f>[1]Modeler!N122</f>
        <v>0</v>
      </c>
      <c r="M122" s="29">
        <f>[1]Modeler!O122</f>
        <v>0</v>
      </c>
      <c r="N122" s="34">
        <f>[1]Modeler!P122</f>
        <v>0</v>
      </c>
      <c r="O122" s="32">
        <f>[1]Modeler!Q122</f>
        <v>0</v>
      </c>
      <c r="P122" s="29">
        <f>[1]Modeler!R122</f>
        <v>0</v>
      </c>
      <c r="Q122" s="34">
        <f>[1]Modeler!S122</f>
        <v>0</v>
      </c>
      <c r="R122" s="29">
        <f>[1]Modeler!T122</f>
        <v>0</v>
      </c>
      <c r="S122" s="29">
        <f>[1]Modeler!U122</f>
        <v>0</v>
      </c>
      <c r="T122" s="32">
        <f>[1]Modeler!V122</f>
        <v>0</v>
      </c>
      <c r="U122" s="29">
        <f>[1]Modeler!W122</f>
        <v>0</v>
      </c>
      <c r="V122" s="29">
        <f>[1]Modeler!X122</f>
        <v>0</v>
      </c>
      <c r="W122" s="32">
        <f>[1]Modeler!Y122</f>
        <v>0</v>
      </c>
      <c r="X122" s="29">
        <f>[1]Modeler!Z122</f>
        <v>0</v>
      </c>
      <c r="Y122" s="29">
        <f>[1]Modeler!AA122</f>
        <v>0</v>
      </c>
      <c r="Z122" s="32">
        <f>[1]Modeler!AB122</f>
        <v>0</v>
      </c>
      <c r="AA122" s="29">
        <f>[1]Modeler!AC122</f>
        <v>0</v>
      </c>
      <c r="AB122" s="29">
        <f>[1]Modeler!AD122</f>
        <v>0</v>
      </c>
      <c r="AC122" s="32">
        <f>[1]Modeler!AE122</f>
        <v>0</v>
      </c>
      <c r="AD122" s="29">
        <f>[1]Modeler!AF122</f>
        <v>0</v>
      </c>
      <c r="AE122" s="34">
        <f>[1]Modeler!AG122</f>
        <v>0</v>
      </c>
    </row>
    <row r="123" spans="1:31" x14ac:dyDescent="0.2">
      <c r="A123" s="29">
        <f>[1]Modeler!A123</f>
        <v>0</v>
      </c>
      <c r="B123" s="29">
        <f>[1]Modeler!B123</f>
        <v>0</v>
      </c>
      <c r="C123" s="29" t="str">
        <f>[1]Modeler!C123</f>
        <v>W&amp;G Trunk Lines (3)</v>
      </c>
      <c r="D123" s="37">
        <f>[1]Modeler!D123</f>
        <v>45383</v>
      </c>
      <c r="E123" s="29">
        <f>[1]Modeler!F123</f>
        <v>548</v>
      </c>
      <c r="F123" s="29" t="str">
        <f>[1]Modeler!G123</f>
        <v/>
      </c>
      <c r="G123" s="32">
        <f>[1]Modeler!H123</f>
        <v>0</v>
      </c>
      <c r="H123" s="29">
        <f>[1]Modeler!J123</f>
        <v>0</v>
      </c>
      <c r="I123" s="29">
        <f>[1]Modeler!K123</f>
        <v>0</v>
      </c>
      <c r="J123" s="29">
        <f>[1]Modeler!L123</f>
        <v>0</v>
      </c>
      <c r="K123" s="29" t="str">
        <f>[1]Modeler!M123</f>
        <v/>
      </c>
      <c r="L123" s="32">
        <f>[1]Modeler!N123</f>
        <v>0</v>
      </c>
      <c r="M123" s="29">
        <f>[1]Modeler!O123</f>
        <v>0</v>
      </c>
      <c r="N123" s="34">
        <f>[1]Modeler!P123</f>
        <v>0</v>
      </c>
      <c r="O123" s="32">
        <f>[1]Modeler!Q123</f>
        <v>0</v>
      </c>
      <c r="P123" s="29">
        <f>[1]Modeler!R123</f>
        <v>0</v>
      </c>
      <c r="Q123" s="34">
        <f>[1]Modeler!S123</f>
        <v>0</v>
      </c>
      <c r="R123" s="29">
        <f>[1]Modeler!T123</f>
        <v>0</v>
      </c>
      <c r="S123" s="29">
        <f>[1]Modeler!U123</f>
        <v>0</v>
      </c>
      <c r="T123" s="32">
        <f>[1]Modeler!V123</f>
        <v>0</v>
      </c>
      <c r="U123" s="29">
        <f>[1]Modeler!W123</f>
        <v>0</v>
      </c>
      <c r="V123" s="29">
        <f>[1]Modeler!X123</f>
        <v>0</v>
      </c>
      <c r="W123" s="32">
        <f>[1]Modeler!Y123</f>
        <v>0</v>
      </c>
      <c r="X123" s="29">
        <f>[1]Modeler!Z123</f>
        <v>0</v>
      </c>
      <c r="Y123" s="29">
        <f>[1]Modeler!AA123</f>
        <v>0</v>
      </c>
      <c r="Z123" s="32">
        <f>[1]Modeler!AB123</f>
        <v>0</v>
      </c>
      <c r="AA123" s="29">
        <f>[1]Modeler!AC123</f>
        <v>0</v>
      </c>
      <c r="AB123" s="29">
        <f>[1]Modeler!AD123</f>
        <v>0</v>
      </c>
      <c r="AC123" s="32">
        <f>[1]Modeler!AE123</f>
        <v>0</v>
      </c>
      <c r="AD123" s="29">
        <f>[1]Modeler!AF123</f>
        <v>0</v>
      </c>
      <c r="AE123" s="34">
        <f>[1]Modeler!AG123</f>
        <v>0</v>
      </c>
    </row>
    <row r="124" spans="1:31" x14ac:dyDescent="0.2">
      <c r="A124" s="29">
        <f>[1]Modeler!A124</f>
        <v>0</v>
      </c>
      <c r="B124" s="29">
        <f>[1]Modeler!B124</f>
        <v>0</v>
      </c>
      <c r="C124" s="29">
        <f>[1]Modeler!C124</f>
        <v>0</v>
      </c>
      <c r="D124" s="37">
        <f>[1]Modeler!D124</f>
        <v>0</v>
      </c>
      <c r="E124" s="29" t="str">
        <f>[1]Modeler!F124</f>
        <v/>
      </c>
      <c r="F124" s="29" t="str">
        <f>[1]Modeler!G124</f>
        <v/>
      </c>
      <c r="G124" s="32">
        <f>[1]Modeler!H124</f>
        <v>0</v>
      </c>
      <c r="H124" s="29">
        <f>[1]Modeler!J124</f>
        <v>0</v>
      </c>
      <c r="I124" s="29">
        <f>[1]Modeler!K124</f>
        <v>0</v>
      </c>
      <c r="J124" s="29">
        <f>[1]Modeler!L124</f>
        <v>0</v>
      </c>
      <c r="K124" s="29" t="str">
        <f>[1]Modeler!M124</f>
        <v/>
      </c>
      <c r="L124" s="32">
        <f>[1]Modeler!N124</f>
        <v>0</v>
      </c>
      <c r="M124" s="29">
        <f>[1]Modeler!O124</f>
        <v>0</v>
      </c>
      <c r="N124" s="34">
        <f>[1]Modeler!P124</f>
        <v>0</v>
      </c>
      <c r="O124" s="32">
        <f>[1]Modeler!Q124</f>
        <v>0</v>
      </c>
      <c r="P124" s="29">
        <f>[1]Modeler!R124</f>
        <v>0</v>
      </c>
      <c r="Q124" s="34">
        <f>[1]Modeler!S124</f>
        <v>0</v>
      </c>
      <c r="R124" s="29">
        <f>[1]Modeler!T124</f>
        <v>0</v>
      </c>
      <c r="S124" s="29">
        <f>[1]Modeler!U124</f>
        <v>0</v>
      </c>
      <c r="T124" s="32">
        <f>[1]Modeler!V124</f>
        <v>0</v>
      </c>
      <c r="U124" s="29">
        <f>[1]Modeler!W124</f>
        <v>0</v>
      </c>
      <c r="V124" s="29">
        <f>[1]Modeler!X124</f>
        <v>0</v>
      </c>
      <c r="W124" s="32">
        <f>[1]Modeler!Y124</f>
        <v>0</v>
      </c>
      <c r="X124" s="29">
        <f>[1]Modeler!Z124</f>
        <v>0</v>
      </c>
      <c r="Y124" s="29">
        <f>[1]Modeler!AA124</f>
        <v>0</v>
      </c>
      <c r="Z124" s="32">
        <f>[1]Modeler!AB124</f>
        <v>0</v>
      </c>
      <c r="AA124" s="29">
        <f>[1]Modeler!AC124</f>
        <v>0</v>
      </c>
      <c r="AB124" s="29">
        <f>[1]Modeler!AD124</f>
        <v>0</v>
      </c>
      <c r="AC124" s="32">
        <f>[1]Modeler!AE124</f>
        <v>0</v>
      </c>
      <c r="AD124" s="29">
        <f>[1]Modeler!AF124</f>
        <v>0</v>
      </c>
      <c r="AE124" s="34">
        <f>[1]Modeler!AG124</f>
        <v>0</v>
      </c>
    </row>
    <row r="125" spans="1:31" x14ac:dyDescent="0.2">
      <c r="A125" s="29">
        <f>[1]Modeler!A125</f>
        <v>0</v>
      </c>
      <c r="B125" s="29">
        <f>[1]Modeler!B125</f>
        <v>0</v>
      </c>
      <c r="C125" s="29" t="str">
        <f>[1]Modeler!C125</f>
        <v>WATER OAK PLANT 1 (20MW)</v>
      </c>
      <c r="D125" s="37">
        <f>[1]Modeler!D125</f>
        <v>44849</v>
      </c>
      <c r="E125" s="29">
        <f>[1]Modeler!F125</f>
        <v>1112</v>
      </c>
      <c r="F125" s="29" t="str">
        <f>[1]Modeler!G125</f>
        <v/>
      </c>
      <c r="G125" s="32">
        <f>[1]Modeler!H125</f>
        <v>0</v>
      </c>
      <c r="H125" s="29">
        <f>[1]Modeler!J125</f>
        <v>0</v>
      </c>
      <c r="I125" s="29">
        <f>[1]Modeler!K125</f>
        <v>0</v>
      </c>
      <c r="J125" s="29">
        <f>[1]Modeler!L125</f>
        <v>0</v>
      </c>
      <c r="K125" s="29" t="str">
        <f>[1]Modeler!M125</f>
        <v/>
      </c>
      <c r="L125" s="32">
        <f>[1]Modeler!N125</f>
        <v>0</v>
      </c>
      <c r="M125" s="29">
        <f>[1]Modeler!O125</f>
        <v>0</v>
      </c>
      <c r="N125" s="34">
        <f>[1]Modeler!P125</f>
        <v>0</v>
      </c>
      <c r="O125" s="32">
        <f>[1]Modeler!Q125</f>
        <v>0</v>
      </c>
      <c r="P125" s="29">
        <f>[1]Modeler!R125</f>
        <v>0</v>
      </c>
      <c r="Q125" s="34">
        <f>[1]Modeler!S125</f>
        <v>0</v>
      </c>
      <c r="R125" s="29">
        <f>[1]Modeler!T125</f>
        <v>0</v>
      </c>
      <c r="S125" s="29">
        <f>[1]Modeler!U125</f>
        <v>0</v>
      </c>
      <c r="T125" s="32">
        <f>[1]Modeler!V125</f>
        <v>0</v>
      </c>
      <c r="U125" s="29">
        <f>[1]Modeler!W125</f>
        <v>0</v>
      </c>
      <c r="V125" s="29">
        <f>[1]Modeler!X125</f>
        <v>0</v>
      </c>
      <c r="W125" s="32">
        <f>[1]Modeler!Y125</f>
        <v>0</v>
      </c>
      <c r="X125" s="29">
        <f>[1]Modeler!Z125</f>
        <v>0</v>
      </c>
      <c r="Y125" s="29">
        <f>[1]Modeler!AA125</f>
        <v>0</v>
      </c>
      <c r="Z125" s="32">
        <f>[1]Modeler!AB125</f>
        <v>0</v>
      </c>
      <c r="AA125" s="29">
        <f>[1]Modeler!AC125</f>
        <v>0</v>
      </c>
      <c r="AB125" s="29">
        <f>[1]Modeler!AD125</f>
        <v>0</v>
      </c>
      <c r="AC125" s="32">
        <f>[1]Modeler!AE125</f>
        <v>0</v>
      </c>
      <c r="AD125" s="29">
        <f>[1]Modeler!AF125</f>
        <v>0</v>
      </c>
      <c r="AE125" s="34">
        <f>[1]Modeler!AG125</f>
        <v>0</v>
      </c>
    </row>
    <row r="126" spans="1:31" x14ac:dyDescent="0.2">
      <c r="A126" s="29">
        <f>[1]Modeler!A126</f>
        <v>0</v>
      </c>
      <c r="B126" s="29">
        <f>[1]Modeler!B126</f>
        <v>0</v>
      </c>
      <c r="C126" s="29" t="str">
        <f>[1]Modeler!C126</f>
        <v>RFP</v>
      </c>
      <c r="D126" s="37">
        <f>[1]Modeler!D126</f>
        <v>44849</v>
      </c>
      <c r="E126" s="29">
        <f>[1]Modeler!F126</f>
        <v>82</v>
      </c>
      <c r="F126" s="29" t="str">
        <f>[1]Modeler!G126</f>
        <v/>
      </c>
      <c r="G126" s="32">
        <f>[1]Modeler!H126</f>
        <v>0</v>
      </c>
      <c r="H126" s="29">
        <f>[1]Modeler!J126</f>
        <v>0</v>
      </c>
      <c r="I126" s="29">
        <f>[1]Modeler!K126</f>
        <v>0</v>
      </c>
      <c r="J126" s="29">
        <f>[1]Modeler!L126</f>
        <v>0</v>
      </c>
      <c r="K126" s="29" t="str">
        <f>[1]Modeler!M126</f>
        <v/>
      </c>
      <c r="L126" s="32">
        <f>[1]Modeler!N126</f>
        <v>0</v>
      </c>
      <c r="M126" s="29">
        <f>[1]Modeler!O126</f>
        <v>0</v>
      </c>
      <c r="N126" s="34">
        <f>[1]Modeler!P126</f>
        <v>0</v>
      </c>
      <c r="O126" s="32">
        <f>[1]Modeler!Q126</f>
        <v>0</v>
      </c>
      <c r="P126" s="29">
        <f>[1]Modeler!R126</f>
        <v>0</v>
      </c>
      <c r="Q126" s="34">
        <f>[1]Modeler!S126</f>
        <v>0</v>
      </c>
      <c r="R126" s="29">
        <f>[1]Modeler!T126</f>
        <v>0</v>
      </c>
      <c r="S126" s="29">
        <f>[1]Modeler!U126</f>
        <v>0</v>
      </c>
      <c r="T126" s="32">
        <f>[1]Modeler!V126</f>
        <v>0</v>
      </c>
      <c r="U126" s="29">
        <f>[1]Modeler!W126</f>
        <v>0</v>
      </c>
      <c r="V126" s="29">
        <f>[1]Modeler!X126</f>
        <v>0</v>
      </c>
      <c r="W126" s="32">
        <f>[1]Modeler!Y126</f>
        <v>0</v>
      </c>
      <c r="X126" s="29">
        <f>[1]Modeler!Z126</f>
        <v>0</v>
      </c>
      <c r="Y126" s="29">
        <f>[1]Modeler!AA126</f>
        <v>0</v>
      </c>
      <c r="Z126" s="32">
        <f>[1]Modeler!AB126</f>
        <v>0</v>
      </c>
      <c r="AA126" s="29">
        <f>[1]Modeler!AC126</f>
        <v>0</v>
      </c>
      <c r="AB126" s="29">
        <f>[1]Modeler!AD126</f>
        <v>0</v>
      </c>
      <c r="AC126" s="32">
        <f>[1]Modeler!AE126</f>
        <v>0</v>
      </c>
      <c r="AD126" s="29">
        <f>[1]Modeler!AF126</f>
        <v>0</v>
      </c>
      <c r="AE126" s="34">
        <f>[1]Modeler!AG126</f>
        <v>0</v>
      </c>
    </row>
    <row r="127" spans="1:31" x14ac:dyDescent="0.2">
      <c r="A127" s="29">
        <f>[1]Modeler!A127</f>
        <v>0</v>
      </c>
      <c r="B127" s="29">
        <f>[1]Modeler!B127</f>
        <v>0</v>
      </c>
      <c r="C127" s="29" t="str">
        <f>[1]Modeler!C127</f>
        <v>Permitting</v>
      </c>
      <c r="D127" s="37">
        <f>[1]Modeler!D127</f>
        <v>44958</v>
      </c>
      <c r="E127" s="29">
        <f>[1]Modeler!F127</f>
        <v>120</v>
      </c>
      <c r="F127" s="29" t="str">
        <f>[1]Modeler!G127</f>
        <v/>
      </c>
      <c r="G127" s="32">
        <f>[1]Modeler!H127</f>
        <v>0</v>
      </c>
      <c r="H127" s="29">
        <f>[1]Modeler!J127</f>
        <v>0</v>
      </c>
      <c r="I127" s="29">
        <f>[1]Modeler!K127</f>
        <v>0</v>
      </c>
      <c r="J127" s="29">
        <f>[1]Modeler!L127</f>
        <v>0</v>
      </c>
      <c r="K127" s="29" t="str">
        <f>[1]Modeler!M127</f>
        <v/>
      </c>
      <c r="L127" s="32">
        <f>[1]Modeler!N127</f>
        <v>0</v>
      </c>
      <c r="M127" s="29">
        <f>[1]Modeler!O127</f>
        <v>0</v>
      </c>
      <c r="N127" s="34">
        <f>[1]Modeler!P127</f>
        <v>0</v>
      </c>
      <c r="O127" s="32">
        <f>[1]Modeler!Q127</f>
        <v>0</v>
      </c>
      <c r="P127" s="29">
        <f>[1]Modeler!R127</f>
        <v>0</v>
      </c>
      <c r="Q127" s="34">
        <f>[1]Modeler!S127</f>
        <v>0</v>
      </c>
      <c r="R127" s="29">
        <f>[1]Modeler!T127</f>
        <v>0</v>
      </c>
      <c r="S127" s="29">
        <f>[1]Modeler!U127</f>
        <v>0</v>
      </c>
      <c r="T127" s="32">
        <f>[1]Modeler!V127</f>
        <v>0</v>
      </c>
      <c r="U127" s="29">
        <f>[1]Modeler!W127</f>
        <v>0</v>
      </c>
      <c r="V127" s="29">
        <f>[1]Modeler!X127</f>
        <v>0</v>
      </c>
      <c r="W127" s="32">
        <f>[1]Modeler!Y127</f>
        <v>0</v>
      </c>
      <c r="X127" s="29">
        <f>[1]Modeler!Z127</f>
        <v>0</v>
      </c>
      <c r="Y127" s="29">
        <f>[1]Modeler!AA127</f>
        <v>0</v>
      </c>
      <c r="Z127" s="32">
        <f>[1]Modeler!AB127</f>
        <v>0</v>
      </c>
      <c r="AA127" s="29">
        <f>[1]Modeler!AC127</f>
        <v>0</v>
      </c>
      <c r="AB127" s="29">
        <f>[1]Modeler!AD127</f>
        <v>0</v>
      </c>
      <c r="AC127" s="32">
        <f>[1]Modeler!AE127</f>
        <v>0</v>
      </c>
      <c r="AD127" s="29">
        <f>[1]Modeler!AF127</f>
        <v>0</v>
      </c>
      <c r="AE127" s="34">
        <f>[1]Modeler!AG127</f>
        <v>0</v>
      </c>
    </row>
    <row r="128" spans="1:31" x14ac:dyDescent="0.2">
      <c r="A128" s="29">
        <f>[1]Modeler!A128</f>
        <v>0</v>
      </c>
      <c r="B128" s="29">
        <f>[1]Modeler!B128</f>
        <v>0</v>
      </c>
      <c r="C128" s="29" t="str">
        <f>[1]Modeler!C128</f>
        <v>Preliminary Design</v>
      </c>
      <c r="D128" s="37">
        <f>[1]Modeler!D128</f>
        <v>44958</v>
      </c>
      <c r="E128" s="29">
        <f>[1]Modeler!F128</f>
        <v>120</v>
      </c>
      <c r="F128" s="29" t="str">
        <f>[1]Modeler!G128</f>
        <v/>
      </c>
      <c r="G128" s="32">
        <f>[1]Modeler!H128</f>
        <v>0</v>
      </c>
      <c r="H128" s="29">
        <f>[1]Modeler!J128</f>
        <v>0</v>
      </c>
      <c r="I128" s="29">
        <f>[1]Modeler!K128</f>
        <v>0</v>
      </c>
      <c r="J128" s="29">
        <f>[1]Modeler!L128</f>
        <v>0</v>
      </c>
      <c r="K128" s="29" t="str">
        <f>[1]Modeler!M128</f>
        <v/>
      </c>
      <c r="L128" s="32">
        <f>[1]Modeler!N128</f>
        <v>0</v>
      </c>
      <c r="M128" s="29">
        <f>[1]Modeler!O128</f>
        <v>0</v>
      </c>
      <c r="N128" s="34">
        <f>[1]Modeler!P128</f>
        <v>0</v>
      </c>
      <c r="O128" s="32">
        <f>[1]Modeler!Q128</f>
        <v>0</v>
      </c>
      <c r="P128" s="29">
        <f>[1]Modeler!R128</f>
        <v>0</v>
      </c>
      <c r="Q128" s="34">
        <f>[1]Modeler!S128</f>
        <v>0</v>
      </c>
      <c r="R128" s="29">
        <f>[1]Modeler!T128</f>
        <v>0</v>
      </c>
      <c r="S128" s="29">
        <f>[1]Modeler!U128</f>
        <v>0</v>
      </c>
      <c r="T128" s="32">
        <f>[1]Modeler!V128</f>
        <v>0</v>
      </c>
      <c r="U128" s="29">
        <f>[1]Modeler!W128</f>
        <v>0</v>
      </c>
      <c r="V128" s="29">
        <f>[1]Modeler!X128</f>
        <v>0</v>
      </c>
      <c r="W128" s="32">
        <f>[1]Modeler!Y128</f>
        <v>0</v>
      </c>
      <c r="X128" s="29">
        <f>[1]Modeler!Z128</f>
        <v>0</v>
      </c>
      <c r="Y128" s="29">
        <f>[1]Modeler!AA128</f>
        <v>0</v>
      </c>
      <c r="Z128" s="32">
        <f>[1]Modeler!AB128</f>
        <v>0</v>
      </c>
      <c r="AA128" s="29">
        <f>[1]Modeler!AC128</f>
        <v>0</v>
      </c>
      <c r="AB128" s="29">
        <f>[1]Modeler!AD128</f>
        <v>0</v>
      </c>
      <c r="AC128" s="32">
        <f>[1]Modeler!AE128</f>
        <v>0</v>
      </c>
      <c r="AD128" s="29">
        <f>[1]Modeler!AF128</f>
        <v>0</v>
      </c>
      <c r="AE128" s="34">
        <f>[1]Modeler!AG128</f>
        <v>0</v>
      </c>
    </row>
    <row r="129" spans="1:31" x14ac:dyDescent="0.2">
      <c r="A129" s="29">
        <f>[1]Modeler!A129</f>
        <v>0</v>
      </c>
      <c r="B129" s="29">
        <f>[1]Modeler!B129</f>
        <v>0</v>
      </c>
      <c r="C129" s="29" t="str">
        <f>[1]Modeler!C129</f>
        <v>FEED</v>
      </c>
      <c r="D129" s="37">
        <f>[1]Modeler!D129</f>
        <v>45078</v>
      </c>
      <c r="E129" s="29">
        <f>[1]Modeler!F129</f>
        <v>240</v>
      </c>
      <c r="F129" s="29" t="str">
        <f>[1]Modeler!G129</f>
        <v/>
      </c>
      <c r="G129" s="32">
        <f>[1]Modeler!H129</f>
        <v>0</v>
      </c>
      <c r="H129" s="29">
        <f>[1]Modeler!J129</f>
        <v>0</v>
      </c>
      <c r="I129" s="29">
        <f>[1]Modeler!K129</f>
        <v>0</v>
      </c>
      <c r="J129" s="29">
        <f>[1]Modeler!L129</f>
        <v>0</v>
      </c>
      <c r="K129" s="29" t="str">
        <f>[1]Modeler!M129</f>
        <v/>
      </c>
      <c r="L129" s="32">
        <f>[1]Modeler!N129</f>
        <v>0</v>
      </c>
      <c r="M129" s="29">
        <f>[1]Modeler!O129</f>
        <v>0</v>
      </c>
      <c r="N129" s="34">
        <f>[1]Modeler!P129</f>
        <v>0</v>
      </c>
      <c r="O129" s="32">
        <f>[1]Modeler!Q129</f>
        <v>0</v>
      </c>
      <c r="P129" s="29">
        <f>[1]Modeler!R129</f>
        <v>0</v>
      </c>
      <c r="Q129" s="34">
        <f>[1]Modeler!S129</f>
        <v>0</v>
      </c>
      <c r="R129" s="29">
        <f>[1]Modeler!T129</f>
        <v>0</v>
      </c>
      <c r="S129" s="29">
        <f>[1]Modeler!U129</f>
        <v>0</v>
      </c>
      <c r="T129" s="32">
        <f>[1]Modeler!V129</f>
        <v>0</v>
      </c>
      <c r="U129" s="29">
        <f>[1]Modeler!W129</f>
        <v>0</v>
      </c>
      <c r="V129" s="29">
        <f>[1]Modeler!X129</f>
        <v>0</v>
      </c>
      <c r="W129" s="32">
        <f>[1]Modeler!Y129</f>
        <v>0</v>
      </c>
      <c r="X129" s="29">
        <f>[1]Modeler!Z129</f>
        <v>0</v>
      </c>
      <c r="Y129" s="29">
        <f>[1]Modeler!AA129</f>
        <v>0</v>
      </c>
      <c r="Z129" s="32">
        <f>[1]Modeler!AB129</f>
        <v>0</v>
      </c>
      <c r="AA129" s="29">
        <f>[1]Modeler!AC129</f>
        <v>0</v>
      </c>
      <c r="AB129" s="29">
        <f>[1]Modeler!AD129</f>
        <v>0</v>
      </c>
      <c r="AC129" s="32">
        <f>[1]Modeler!AE129</f>
        <v>0</v>
      </c>
      <c r="AD129" s="29">
        <f>[1]Modeler!AF129</f>
        <v>0</v>
      </c>
      <c r="AE129" s="34">
        <f>[1]Modeler!AG129</f>
        <v>0</v>
      </c>
    </row>
    <row r="130" spans="1:31" x14ac:dyDescent="0.2">
      <c r="A130" s="29">
        <f>[1]Modeler!A130</f>
        <v>0</v>
      </c>
      <c r="B130" s="29">
        <f>[1]Modeler!B130</f>
        <v>0</v>
      </c>
      <c r="C130" s="29" t="str">
        <f>[1]Modeler!C130</f>
        <v>Fabrication</v>
      </c>
      <c r="D130" s="37">
        <f>[1]Modeler!D130</f>
        <v>45228</v>
      </c>
      <c r="E130" s="29">
        <f>[1]Modeler!F130</f>
        <v>270</v>
      </c>
      <c r="F130" s="29" t="str">
        <f>[1]Modeler!G130</f>
        <v/>
      </c>
      <c r="G130" s="32">
        <f>[1]Modeler!H130</f>
        <v>0</v>
      </c>
      <c r="H130" s="29">
        <f>[1]Modeler!J130</f>
        <v>0</v>
      </c>
      <c r="I130" s="29">
        <f>[1]Modeler!K130</f>
        <v>0</v>
      </c>
      <c r="J130" s="29">
        <f>[1]Modeler!L130</f>
        <v>0</v>
      </c>
      <c r="K130" s="29" t="str">
        <f>[1]Modeler!M130</f>
        <v/>
      </c>
      <c r="L130" s="32">
        <f>[1]Modeler!N130</f>
        <v>0</v>
      </c>
      <c r="M130" s="29">
        <f>[1]Modeler!O130</f>
        <v>0</v>
      </c>
      <c r="N130" s="34">
        <f>[1]Modeler!P130</f>
        <v>0</v>
      </c>
      <c r="O130" s="32">
        <f>[1]Modeler!Q130</f>
        <v>0</v>
      </c>
      <c r="P130" s="29">
        <f>[1]Modeler!R130</f>
        <v>0</v>
      </c>
      <c r="Q130" s="34">
        <f>[1]Modeler!S130</f>
        <v>0</v>
      </c>
      <c r="R130" s="29">
        <f>[1]Modeler!T130</f>
        <v>0</v>
      </c>
      <c r="S130" s="29">
        <f>[1]Modeler!U130</f>
        <v>0</v>
      </c>
      <c r="T130" s="32">
        <f>[1]Modeler!V130</f>
        <v>0</v>
      </c>
      <c r="U130" s="29">
        <f>[1]Modeler!W130</f>
        <v>0</v>
      </c>
      <c r="V130" s="29">
        <f>[1]Modeler!X130</f>
        <v>0</v>
      </c>
      <c r="W130" s="32">
        <f>[1]Modeler!Y130</f>
        <v>0</v>
      </c>
      <c r="X130" s="29">
        <f>[1]Modeler!Z130</f>
        <v>0</v>
      </c>
      <c r="Y130" s="29">
        <f>[1]Modeler!AA130</f>
        <v>0</v>
      </c>
      <c r="Z130" s="32">
        <f>[1]Modeler!AB130</f>
        <v>0</v>
      </c>
      <c r="AA130" s="29">
        <f>[1]Modeler!AC130</f>
        <v>0</v>
      </c>
      <c r="AB130" s="29">
        <f>[1]Modeler!AD130</f>
        <v>0</v>
      </c>
      <c r="AC130" s="32">
        <f>[1]Modeler!AE130</f>
        <v>0</v>
      </c>
      <c r="AD130" s="29">
        <f>[1]Modeler!AF130</f>
        <v>0</v>
      </c>
      <c r="AE130" s="34">
        <f>[1]Modeler!AG130</f>
        <v>0</v>
      </c>
    </row>
    <row r="131" spans="1:31" x14ac:dyDescent="0.2">
      <c r="A131" s="29">
        <f>[1]Modeler!A131</f>
        <v>0</v>
      </c>
      <c r="B131" s="29">
        <f>[1]Modeler!B131</f>
        <v>0</v>
      </c>
      <c r="C131" s="29" t="str">
        <f>[1]Modeler!C131</f>
        <v>Mobilization</v>
      </c>
      <c r="D131" s="37">
        <f>[1]Modeler!D131</f>
        <v>45468</v>
      </c>
      <c r="E131" s="29">
        <f>[1]Modeler!F131</f>
        <v>90</v>
      </c>
      <c r="F131" s="29" t="str">
        <f>[1]Modeler!G131</f>
        <v/>
      </c>
      <c r="G131" s="32">
        <f>[1]Modeler!H131</f>
        <v>0</v>
      </c>
      <c r="H131" s="29">
        <f>[1]Modeler!J131</f>
        <v>0</v>
      </c>
      <c r="I131" s="29">
        <f>[1]Modeler!K131</f>
        <v>0</v>
      </c>
      <c r="J131" s="29">
        <f>[1]Modeler!L131</f>
        <v>0</v>
      </c>
      <c r="K131" s="29" t="str">
        <f>[1]Modeler!M131</f>
        <v/>
      </c>
      <c r="L131" s="32">
        <f>[1]Modeler!N131</f>
        <v>0</v>
      </c>
      <c r="M131" s="29">
        <f>[1]Modeler!O131</f>
        <v>0</v>
      </c>
      <c r="N131" s="34">
        <f>[1]Modeler!P131</f>
        <v>0</v>
      </c>
      <c r="O131" s="32">
        <f>[1]Modeler!Q131</f>
        <v>0</v>
      </c>
      <c r="P131" s="29">
        <f>[1]Modeler!R131</f>
        <v>0</v>
      </c>
      <c r="Q131" s="34">
        <f>[1]Modeler!S131</f>
        <v>0</v>
      </c>
      <c r="R131" s="29">
        <f>[1]Modeler!T131</f>
        <v>0</v>
      </c>
      <c r="S131" s="29">
        <f>[1]Modeler!U131</f>
        <v>0</v>
      </c>
      <c r="T131" s="32">
        <f>[1]Modeler!V131</f>
        <v>0</v>
      </c>
      <c r="U131" s="29">
        <f>[1]Modeler!W131</f>
        <v>0</v>
      </c>
      <c r="V131" s="29">
        <f>[1]Modeler!X131</f>
        <v>0</v>
      </c>
      <c r="W131" s="32">
        <f>[1]Modeler!Y131</f>
        <v>0</v>
      </c>
      <c r="X131" s="29">
        <f>[1]Modeler!Z131</f>
        <v>0</v>
      </c>
      <c r="Y131" s="29">
        <f>[1]Modeler!AA131</f>
        <v>0</v>
      </c>
      <c r="Z131" s="32">
        <f>[1]Modeler!AB131</f>
        <v>0</v>
      </c>
      <c r="AA131" s="29">
        <f>[1]Modeler!AC131</f>
        <v>0</v>
      </c>
      <c r="AB131" s="29">
        <f>[1]Modeler!AD131</f>
        <v>0</v>
      </c>
      <c r="AC131" s="32">
        <f>[1]Modeler!AE131</f>
        <v>0</v>
      </c>
      <c r="AD131" s="29">
        <f>[1]Modeler!AF131</f>
        <v>0</v>
      </c>
      <c r="AE131" s="34">
        <f>[1]Modeler!AG131</f>
        <v>0</v>
      </c>
    </row>
    <row r="132" spans="1:31" x14ac:dyDescent="0.2">
      <c r="A132" s="29">
        <f>[1]Modeler!A132</f>
        <v>0</v>
      </c>
      <c r="B132" s="29">
        <f>[1]Modeler!B132</f>
        <v>0</v>
      </c>
      <c r="C132" s="29" t="str">
        <f>[1]Modeler!C132</f>
        <v>Construction</v>
      </c>
      <c r="D132" s="37">
        <f>[1]Modeler!D132</f>
        <v>45438</v>
      </c>
      <c r="E132" s="29">
        <f>[1]Modeler!F132</f>
        <v>30</v>
      </c>
      <c r="F132" s="29">
        <f>[1]Modeler!G132</f>
        <v>60</v>
      </c>
      <c r="G132" s="32">
        <f>[1]Modeler!H132</f>
        <v>45528</v>
      </c>
      <c r="H132" s="29">
        <f>[1]Modeler!J132</f>
        <v>120</v>
      </c>
      <c r="I132" s="29">
        <f>[1]Modeler!K132</f>
        <v>0</v>
      </c>
      <c r="J132" s="29">
        <f>[1]Modeler!L132</f>
        <v>0</v>
      </c>
      <c r="K132" s="29" t="str">
        <f>[1]Modeler!M132</f>
        <v/>
      </c>
      <c r="L132" s="32">
        <f>[1]Modeler!N132</f>
        <v>0</v>
      </c>
      <c r="M132" s="29">
        <f>[1]Modeler!O132</f>
        <v>0</v>
      </c>
      <c r="N132" s="34">
        <f>[1]Modeler!P132</f>
        <v>0</v>
      </c>
      <c r="O132" s="32">
        <f>[1]Modeler!Q132</f>
        <v>0</v>
      </c>
      <c r="P132" s="29">
        <f>[1]Modeler!R132</f>
        <v>0</v>
      </c>
      <c r="Q132" s="34">
        <f>[1]Modeler!S132</f>
        <v>0</v>
      </c>
      <c r="R132" s="29">
        <f>[1]Modeler!T132</f>
        <v>0</v>
      </c>
      <c r="S132" s="29">
        <f>[1]Modeler!U132</f>
        <v>0</v>
      </c>
      <c r="T132" s="32">
        <f>[1]Modeler!V132</f>
        <v>0</v>
      </c>
      <c r="U132" s="29">
        <f>[1]Modeler!W132</f>
        <v>0</v>
      </c>
      <c r="V132" s="29">
        <f>[1]Modeler!X132</f>
        <v>0</v>
      </c>
      <c r="W132" s="32">
        <f>[1]Modeler!Y132</f>
        <v>0</v>
      </c>
      <c r="X132" s="29">
        <f>[1]Modeler!Z132</f>
        <v>0</v>
      </c>
      <c r="Y132" s="29">
        <f>[1]Modeler!AA132</f>
        <v>0</v>
      </c>
      <c r="Z132" s="32">
        <f>[1]Modeler!AB132</f>
        <v>0</v>
      </c>
      <c r="AA132" s="29">
        <f>[1]Modeler!AC132</f>
        <v>0</v>
      </c>
      <c r="AB132" s="29">
        <f>[1]Modeler!AD132</f>
        <v>0</v>
      </c>
      <c r="AC132" s="32">
        <f>[1]Modeler!AE132</f>
        <v>0</v>
      </c>
      <c r="AD132" s="29">
        <f>[1]Modeler!AF132</f>
        <v>0</v>
      </c>
      <c r="AE132" s="34">
        <f>[1]Modeler!AG132</f>
        <v>0</v>
      </c>
    </row>
    <row r="133" spans="1:31" x14ac:dyDescent="0.2">
      <c r="A133" s="29">
        <f>[1]Modeler!A133</f>
        <v>0</v>
      </c>
      <c r="B133" s="29">
        <f>[1]Modeler!B133</f>
        <v>0</v>
      </c>
      <c r="C133" s="29" t="str">
        <f>[1]Modeler!C133</f>
        <v>Installation</v>
      </c>
      <c r="D133" s="37">
        <f>[1]Modeler!D133</f>
        <v>45438</v>
      </c>
      <c r="E133" s="29">
        <f>[1]Modeler!F133</f>
        <v>120</v>
      </c>
      <c r="F133" s="29" t="str">
        <f>[1]Modeler!G133</f>
        <v/>
      </c>
      <c r="G133" s="32">
        <f>[1]Modeler!H133</f>
        <v>0</v>
      </c>
      <c r="H133" s="29">
        <f>[1]Modeler!J133</f>
        <v>0</v>
      </c>
      <c r="I133" s="29">
        <f>[1]Modeler!K133</f>
        <v>0</v>
      </c>
      <c r="J133" s="29">
        <f>[1]Modeler!L133</f>
        <v>0</v>
      </c>
      <c r="K133" s="29" t="str">
        <f>[1]Modeler!M133</f>
        <v/>
      </c>
      <c r="L133" s="32">
        <f>[1]Modeler!N133</f>
        <v>0</v>
      </c>
      <c r="M133" s="29">
        <f>[1]Modeler!O133</f>
        <v>0</v>
      </c>
      <c r="N133" s="34">
        <f>[1]Modeler!P133</f>
        <v>0</v>
      </c>
      <c r="O133" s="32">
        <f>[1]Modeler!Q133</f>
        <v>0</v>
      </c>
      <c r="P133" s="29">
        <f>[1]Modeler!R133</f>
        <v>0</v>
      </c>
      <c r="Q133" s="34">
        <f>[1]Modeler!S133</f>
        <v>0</v>
      </c>
      <c r="R133" s="29">
        <f>[1]Modeler!T133</f>
        <v>0</v>
      </c>
      <c r="S133" s="29">
        <f>[1]Modeler!U133</f>
        <v>0</v>
      </c>
      <c r="T133" s="32">
        <f>[1]Modeler!V133</f>
        <v>0</v>
      </c>
      <c r="U133" s="29">
        <f>[1]Modeler!W133</f>
        <v>0</v>
      </c>
      <c r="V133" s="29">
        <f>[1]Modeler!X133</f>
        <v>0</v>
      </c>
      <c r="W133" s="32">
        <f>[1]Modeler!Y133</f>
        <v>0</v>
      </c>
      <c r="X133" s="29">
        <f>[1]Modeler!Z133</f>
        <v>0</v>
      </c>
      <c r="Y133" s="29">
        <f>[1]Modeler!AA133</f>
        <v>0</v>
      </c>
      <c r="Z133" s="32">
        <f>[1]Modeler!AB133</f>
        <v>0</v>
      </c>
      <c r="AA133" s="29">
        <f>[1]Modeler!AC133</f>
        <v>0</v>
      </c>
      <c r="AB133" s="29">
        <f>[1]Modeler!AD133</f>
        <v>0</v>
      </c>
      <c r="AC133" s="32">
        <f>[1]Modeler!AE133</f>
        <v>0</v>
      </c>
      <c r="AD133" s="29">
        <f>[1]Modeler!AF133</f>
        <v>0</v>
      </c>
      <c r="AE133" s="34">
        <f>[1]Modeler!AG133</f>
        <v>0</v>
      </c>
    </row>
    <row r="134" spans="1:31" x14ac:dyDescent="0.2">
      <c r="A134" s="29">
        <f>[1]Modeler!A134</f>
        <v>0</v>
      </c>
      <c r="B134" s="29">
        <f>[1]Modeler!B134</f>
        <v>0</v>
      </c>
      <c r="C134" s="29" t="str">
        <f>[1]Modeler!C134</f>
        <v>Commisioning</v>
      </c>
      <c r="D134" s="37">
        <f>[1]Modeler!D134</f>
        <v>45931</v>
      </c>
      <c r="E134" s="29">
        <f>[1]Modeler!F134</f>
        <v>30</v>
      </c>
      <c r="F134" s="29" t="str">
        <f>[1]Modeler!G134</f>
        <v/>
      </c>
      <c r="G134" s="32">
        <f>[1]Modeler!H134</f>
        <v>0</v>
      </c>
      <c r="H134" s="29">
        <f>[1]Modeler!J134</f>
        <v>0</v>
      </c>
      <c r="I134" s="29">
        <f>[1]Modeler!K134</f>
        <v>0</v>
      </c>
      <c r="J134" s="29">
        <f>[1]Modeler!L134</f>
        <v>0</v>
      </c>
      <c r="K134" s="29" t="str">
        <f>[1]Modeler!M134</f>
        <v/>
      </c>
      <c r="L134" s="32">
        <f>[1]Modeler!N134</f>
        <v>0</v>
      </c>
      <c r="M134" s="29">
        <f>[1]Modeler!O134</f>
        <v>0</v>
      </c>
      <c r="N134" s="34">
        <f>[1]Modeler!P134</f>
        <v>0</v>
      </c>
      <c r="O134" s="32">
        <f>[1]Modeler!Q134</f>
        <v>0</v>
      </c>
      <c r="P134" s="29">
        <f>[1]Modeler!R134</f>
        <v>0</v>
      </c>
      <c r="Q134" s="34">
        <f>[1]Modeler!S134</f>
        <v>0</v>
      </c>
      <c r="R134" s="29">
        <f>[1]Modeler!T134</f>
        <v>0</v>
      </c>
      <c r="S134" s="29">
        <f>[1]Modeler!U134</f>
        <v>0</v>
      </c>
      <c r="T134" s="32">
        <f>[1]Modeler!V134</f>
        <v>0</v>
      </c>
      <c r="U134" s="29">
        <f>[1]Modeler!W134</f>
        <v>0</v>
      </c>
      <c r="V134" s="29">
        <f>[1]Modeler!X134</f>
        <v>0</v>
      </c>
      <c r="W134" s="32">
        <f>[1]Modeler!Y134</f>
        <v>0</v>
      </c>
      <c r="X134" s="29">
        <f>[1]Modeler!Z134</f>
        <v>0</v>
      </c>
      <c r="Y134" s="29">
        <f>[1]Modeler!AA134</f>
        <v>0</v>
      </c>
      <c r="Z134" s="32">
        <f>[1]Modeler!AB134</f>
        <v>0</v>
      </c>
      <c r="AA134" s="29">
        <f>[1]Modeler!AC134</f>
        <v>0</v>
      </c>
      <c r="AB134" s="29">
        <f>[1]Modeler!AD134</f>
        <v>0</v>
      </c>
      <c r="AC134" s="32">
        <f>[1]Modeler!AE134</f>
        <v>0</v>
      </c>
      <c r="AD134" s="29">
        <f>[1]Modeler!AF134</f>
        <v>0</v>
      </c>
      <c r="AE134" s="34">
        <f>[1]Modeler!AG134</f>
        <v>0</v>
      </c>
    </row>
    <row r="135" spans="1:31" x14ac:dyDescent="0.2">
      <c r="A135" s="29">
        <f>[1]Modeler!A135</f>
        <v>0</v>
      </c>
      <c r="B135" s="29">
        <f>[1]Modeler!B135</f>
        <v>0</v>
      </c>
      <c r="C135" s="29" t="str">
        <f>[1]Modeler!C135</f>
        <v>Transmission Design &amp; Integration Plan</v>
      </c>
      <c r="D135" s="37">
        <f>[1]Modeler!D135</f>
        <v>45231</v>
      </c>
      <c r="E135" s="29">
        <f>[1]Modeler!F135</f>
        <v>180</v>
      </c>
      <c r="F135" s="29" t="str">
        <f>[1]Modeler!G135</f>
        <v/>
      </c>
      <c r="G135" s="32">
        <f>[1]Modeler!H135</f>
        <v>0</v>
      </c>
      <c r="H135" s="29">
        <f>[1]Modeler!J135</f>
        <v>0</v>
      </c>
      <c r="I135" s="29">
        <f>[1]Modeler!K135</f>
        <v>0</v>
      </c>
      <c r="J135" s="29">
        <f>[1]Modeler!L135</f>
        <v>0</v>
      </c>
      <c r="K135" s="29" t="str">
        <f>[1]Modeler!M135</f>
        <v/>
      </c>
      <c r="L135" s="32">
        <f>[1]Modeler!N135</f>
        <v>0</v>
      </c>
      <c r="M135" s="29">
        <f>[1]Modeler!O135</f>
        <v>0</v>
      </c>
      <c r="N135" s="34">
        <f>[1]Modeler!P135</f>
        <v>0</v>
      </c>
      <c r="O135" s="32">
        <f>[1]Modeler!Q135</f>
        <v>0</v>
      </c>
      <c r="P135" s="29">
        <f>[1]Modeler!R135</f>
        <v>0</v>
      </c>
      <c r="Q135" s="34">
        <f>[1]Modeler!S135</f>
        <v>0</v>
      </c>
      <c r="R135" s="29">
        <f>[1]Modeler!T135</f>
        <v>0</v>
      </c>
      <c r="S135" s="29">
        <f>[1]Modeler!U135</f>
        <v>0</v>
      </c>
      <c r="T135" s="32">
        <f>[1]Modeler!V135</f>
        <v>0</v>
      </c>
      <c r="U135" s="29">
        <f>[1]Modeler!W135</f>
        <v>0</v>
      </c>
      <c r="V135" s="29">
        <f>[1]Modeler!X135</f>
        <v>0</v>
      </c>
      <c r="W135" s="32">
        <f>[1]Modeler!Y135</f>
        <v>0</v>
      </c>
      <c r="X135" s="29">
        <f>[1]Modeler!Z135</f>
        <v>0</v>
      </c>
      <c r="Y135" s="29">
        <f>[1]Modeler!AA135</f>
        <v>0</v>
      </c>
      <c r="Z135" s="32">
        <f>[1]Modeler!AB135</f>
        <v>0</v>
      </c>
      <c r="AA135" s="29">
        <f>[1]Modeler!AC135</f>
        <v>0</v>
      </c>
      <c r="AB135" s="29">
        <f>[1]Modeler!AD135</f>
        <v>0</v>
      </c>
      <c r="AC135" s="32">
        <f>[1]Modeler!AE135</f>
        <v>0</v>
      </c>
      <c r="AD135" s="29">
        <f>[1]Modeler!AF135</f>
        <v>0</v>
      </c>
      <c r="AE135" s="34">
        <f>[1]Modeler!AG135</f>
        <v>0</v>
      </c>
    </row>
    <row r="136" spans="1:31" x14ac:dyDescent="0.2">
      <c r="A136" s="29">
        <f>[1]Modeler!A136</f>
        <v>0</v>
      </c>
      <c r="B136" s="29">
        <f>[1]Modeler!B136</f>
        <v>0</v>
      </c>
      <c r="C136" s="29" t="str">
        <f>[1]Modeler!C136</f>
        <v>Transmission Line Construction</v>
      </c>
      <c r="D136" s="37">
        <f>[1]Modeler!D136</f>
        <v>45441</v>
      </c>
      <c r="E136" s="29">
        <f>[1]Modeler!F136</f>
        <v>180</v>
      </c>
      <c r="F136" s="29" t="str">
        <f>[1]Modeler!G136</f>
        <v/>
      </c>
      <c r="G136" s="32">
        <f>[1]Modeler!H136</f>
        <v>0</v>
      </c>
      <c r="H136" s="29">
        <f>[1]Modeler!J136</f>
        <v>0</v>
      </c>
      <c r="I136" s="29">
        <f>[1]Modeler!K136</f>
        <v>0</v>
      </c>
      <c r="J136" s="29">
        <f>[1]Modeler!L136</f>
        <v>0</v>
      </c>
      <c r="K136" s="29" t="str">
        <f>[1]Modeler!M136</f>
        <v/>
      </c>
      <c r="L136" s="32">
        <f>[1]Modeler!N136</f>
        <v>0</v>
      </c>
      <c r="M136" s="29">
        <f>[1]Modeler!O136</f>
        <v>0</v>
      </c>
      <c r="N136" s="34">
        <f>[1]Modeler!P136</f>
        <v>0</v>
      </c>
      <c r="O136" s="32">
        <f>[1]Modeler!Q136</f>
        <v>0</v>
      </c>
      <c r="P136" s="29">
        <f>[1]Modeler!R136</f>
        <v>0</v>
      </c>
      <c r="Q136" s="34">
        <f>[1]Modeler!S136</f>
        <v>0</v>
      </c>
      <c r="R136" s="29">
        <f>[1]Modeler!T136</f>
        <v>0</v>
      </c>
      <c r="S136" s="29">
        <f>[1]Modeler!U136</f>
        <v>0</v>
      </c>
      <c r="T136" s="32">
        <f>[1]Modeler!V136</f>
        <v>0</v>
      </c>
      <c r="U136" s="29">
        <f>[1]Modeler!W136</f>
        <v>0</v>
      </c>
      <c r="V136" s="29">
        <f>[1]Modeler!X136</f>
        <v>0</v>
      </c>
      <c r="W136" s="32">
        <f>[1]Modeler!Y136</f>
        <v>0</v>
      </c>
      <c r="X136" s="29">
        <f>[1]Modeler!Z136</f>
        <v>0</v>
      </c>
      <c r="Y136" s="29">
        <f>[1]Modeler!AA136</f>
        <v>0</v>
      </c>
      <c r="Z136" s="32">
        <f>[1]Modeler!AB136</f>
        <v>0</v>
      </c>
      <c r="AA136" s="29">
        <f>[1]Modeler!AC136</f>
        <v>0</v>
      </c>
      <c r="AB136" s="29">
        <f>[1]Modeler!AD136</f>
        <v>0</v>
      </c>
      <c r="AC136" s="32">
        <f>[1]Modeler!AE136</f>
        <v>0</v>
      </c>
      <c r="AD136" s="29">
        <f>[1]Modeler!AF136</f>
        <v>0</v>
      </c>
      <c r="AE136" s="34">
        <f>[1]Modeler!AG136</f>
        <v>0</v>
      </c>
    </row>
    <row r="137" spans="1:31" x14ac:dyDescent="0.2">
      <c r="A137" s="29">
        <f>[1]Modeler!A137</f>
        <v>0</v>
      </c>
      <c r="B137" s="29">
        <f>[1]Modeler!B137</f>
        <v>0</v>
      </c>
      <c r="C137" s="29" t="str">
        <f>[1]Modeler!C137</f>
        <v>Connection/Integration</v>
      </c>
      <c r="D137" s="37">
        <f>[1]Modeler!D137</f>
        <v>45839</v>
      </c>
      <c r="E137" s="29">
        <f>[1]Modeler!F137</f>
        <v>60</v>
      </c>
      <c r="F137" s="29" t="str">
        <f>[1]Modeler!G137</f>
        <v/>
      </c>
      <c r="G137" s="32">
        <f>[1]Modeler!H137</f>
        <v>0</v>
      </c>
      <c r="H137" s="29">
        <f>[1]Modeler!J137</f>
        <v>0</v>
      </c>
      <c r="I137" s="29">
        <f>[1]Modeler!K137</f>
        <v>0</v>
      </c>
      <c r="J137" s="29">
        <f>[1]Modeler!L137</f>
        <v>0</v>
      </c>
      <c r="K137" s="29" t="str">
        <f>[1]Modeler!M137</f>
        <v/>
      </c>
      <c r="L137" s="32">
        <f>[1]Modeler!N137</f>
        <v>0</v>
      </c>
      <c r="M137" s="29">
        <f>[1]Modeler!O137</f>
        <v>0</v>
      </c>
      <c r="N137" s="34">
        <f>[1]Modeler!P137</f>
        <v>0</v>
      </c>
      <c r="O137" s="32">
        <f>[1]Modeler!Q137</f>
        <v>0</v>
      </c>
      <c r="P137" s="29">
        <f>[1]Modeler!R137</f>
        <v>0</v>
      </c>
      <c r="Q137" s="34">
        <f>[1]Modeler!S137</f>
        <v>0</v>
      </c>
      <c r="R137" s="29">
        <f>[1]Modeler!T137</f>
        <v>0</v>
      </c>
      <c r="S137" s="29">
        <f>[1]Modeler!U137</f>
        <v>0</v>
      </c>
      <c r="T137" s="32">
        <f>[1]Modeler!V137</f>
        <v>0</v>
      </c>
      <c r="U137" s="29">
        <f>[1]Modeler!W137</f>
        <v>0</v>
      </c>
      <c r="V137" s="29">
        <f>[1]Modeler!X137</f>
        <v>0</v>
      </c>
      <c r="W137" s="32">
        <f>[1]Modeler!Y137</f>
        <v>0</v>
      </c>
      <c r="X137" s="29">
        <f>[1]Modeler!Z137</f>
        <v>0</v>
      </c>
      <c r="Y137" s="29">
        <f>[1]Modeler!AA137</f>
        <v>0</v>
      </c>
      <c r="Z137" s="32">
        <f>[1]Modeler!AB137</f>
        <v>0</v>
      </c>
      <c r="AA137" s="29">
        <f>[1]Modeler!AC137</f>
        <v>0</v>
      </c>
      <c r="AB137" s="29">
        <f>[1]Modeler!AD137</f>
        <v>0</v>
      </c>
      <c r="AC137" s="32">
        <f>[1]Modeler!AE137</f>
        <v>0</v>
      </c>
      <c r="AD137" s="29">
        <f>[1]Modeler!AF137</f>
        <v>0</v>
      </c>
      <c r="AE137" s="34">
        <f>[1]Modeler!AG137</f>
        <v>0</v>
      </c>
    </row>
    <row r="138" spans="1:31" x14ac:dyDescent="0.2">
      <c r="A138" s="29">
        <f>[1]Modeler!A138</f>
        <v>0</v>
      </c>
      <c r="B138" s="29">
        <f>[1]Modeler!B138</f>
        <v>0</v>
      </c>
      <c r="C138" s="29" t="str">
        <f>[1]Modeler!C138</f>
        <v>Power Delivery &amp; Sales</v>
      </c>
      <c r="D138" s="37">
        <f>[1]Modeler!D138</f>
        <v>45962</v>
      </c>
      <c r="E138" s="29">
        <f>[1]Modeler!F138</f>
        <v>30</v>
      </c>
      <c r="F138" s="29" t="str">
        <f>[1]Modeler!G138</f>
        <v/>
      </c>
      <c r="G138" s="32">
        <f>[1]Modeler!H138</f>
        <v>0</v>
      </c>
      <c r="H138" s="29">
        <f>[1]Modeler!J138</f>
        <v>0</v>
      </c>
      <c r="I138" s="29">
        <f>[1]Modeler!K138</f>
        <v>0</v>
      </c>
      <c r="J138" s="29">
        <f>[1]Modeler!L138</f>
        <v>0</v>
      </c>
      <c r="K138" s="29" t="str">
        <f>[1]Modeler!M138</f>
        <v/>
      </c>
      <c r="L138" s="32">
        <f>[1]Modeler!N138</f>
        <v>0</v>
      </c>
      <c r="M138" s="29">
        <f>[1]Modeler!O138</f>
        <v>0</v>
      </c>
      <c r="N138" s="34">
        <f>[1]Modeler!P138</f>
        <v>0</v>
      </c>
      <c r="O138" s="32">
        <f>[1]Modeler!Q138</f>
        <v>0</v>
      </c>
      <c r="P138" s="29">
        <f>[1]Modeler!R138</f>
        <v>0</v>
      </c>
      <c r="Q138" s="34">
        <f>[1]Modeler!S138</f>
        <v>0</v>
      </c>
      <c r="R138" s="29">
        <f>[1]Modeler!T138</f>
        <v>0</v>
      </c>
      <c r="S138" s="29">
        <f>[1]Modeler!U138</f>
        <v>0</v>
      </c>
      <c r="T138" s="32">
        <f>[1]Modeler!V138</f>
        <v>0</v>
      </c>
      <c r="U138" s="29">
        <f>[1]Modeler!W138</f>
        <v>0</v>
      </c>
      <c r="V138" s="29">
        <f>[1]Modeler!X138</f>
        <v>0</v>
      </c>
      <c r="W138" s="32">
        <f>[1]Modeler!Y138</f>
        <v>0</v>
      </c>
      <c r="X138" s="29">
        <f>[1]Modeler!Z138</f>
        <v>0</v>
      </c>
      <c r="Y138" s="29">
        <f>[1]Modeler!AA138</f>
        <v>0</v>
      </c>
      <c r="Z138" s="32">
        <f>[1]Modeler!AB138</f>
        <v>0</v>
      </c>
      <c r="AA138" s="29">
        <f>[1]Modeler!AC138</f>
        <v>0</v>
      </c>
      <c r="AB138" s="29">
        <f>[1]Modeler!AD138</f>
        <v>0</v>
      </c>
      <c r="AC138" s="32">
        <f>[1]Modeler!AE138</f>
        <v>0</v>
      </c>
      <c r="AD138" s="29">
        <f>[1]Modeler!AF138</f>
        <v>0</v>
      </c>
      <c r="AE138" s="34">
        <f>[1]Modeler!AG138</f>
        <v>0</v>
      </c>
    </row>
    <row r="139" spans="1:31" x14ac:dyDescent="0.2">
      <c r="A139" s="29">
        <f>[1]Modeler!A139</f>
        <v>0</v>
      </c>
      <c r="B139" s="29">
        <f>[1]Modeler!B139</f>
        <v>0</v>
      </c>
      <c r="C139" s="29">
        <f>[1]Modeler!C139</f>
        <v>0</v>
      </c>
      <c r="D139" s="37">
        <f>[1]Modeler!D139</f>
        <v>0</v>
      </c>
      <c r="E139" s="29">
        <f>[1]Modeler!F139</f>
        <v>0</v>
      </c>
      <c r="F139" s="29">
        <f>[1]Modeler!G139</f>
        <v>0</v>
      </c>
      <c r="G139" s="32">
        <f>[1]Modeler!H139</f>
        <v>0</v>
      </c>
      <c r="H139" s="29">
        <f>[1]Modeler!J139</f>
        <v>0</v>
      </c>
      <c r="I139" s="29">
        <f>[1]Modeler!K139</f>
        <v>0</v>
      </c>
      <c r="J139" s="29">
        <f>[1]Modeler!L139</f>
        <v>0</v>
      </c>
      <c r="K139" s="29" t="str">
        <f>[1]Modeler!M139</f>
        <v/>
      </c>
      <c r="L139" s="32">
        <f>[1]Modeler!N139</f>
        <v>0</v>
      </c>
      <c r="M139" s="29">
        <f>[1]Modeler!O139</f>
        <v>0</v>
      </c>
      <c r="N139" s="34">
        <f>[1]Modeler!P139</f>
        <v>0</v>
      </c>
      <c r="O139" s="32">
        <f>[1]Modeler!Q139</f>
        <v>0</v>
      </c>
      <c r="P139" s="29">
        <f>[1]Modeler!R139</f>
        <v>0</v>
      </c>
      <c r="Q139" s="34">
        <f>[1]Modeler!S139</f>
        <v>0</v>
      </c>
      <c r="R139" s="29">
        <f>[1]Modeler!T139</f>
        <v>0</v>
      </c>
      <c r="S139" s="29">
        <f>[1]Modeler!U139</f>
        <v>0</v>
      </c>
      <c r="T139" s="32">
        <f>[1]Modeler!V139</f>
        <v>0</v>
      </c>
      <c r="U139" s="29">
        <f>[1]Modeler!W139</f>
        <v>0</v>
      </c>
      <c r="V139" s="29">
        <f>[1]Modeler!X139</f>
        <v>0</v>
      </c>
      <c r="W139" s="32">
        <f>[1]Modeler!Y139</f>
        <v>0</v>
      </c>
      <c r="X139" s="29">
        <f>[1]Modeler!Z139</f>
        <v>0</v>
      </c>
      <c r="Y139" s="29">
        <f>[1]Modeler!AA139</f>
        <v>0</v>
      </c>
      <c r="Z139" s="32">
        <f>[1]Modeler!AB139</f>
        <v>0</v>
      </c>
      <c r="AA139" s="29">
        <f>[1]Modeler!AC139</f>
        <v>0</v>
      </c>
      <c r="AB139" s="29">
        <f>[1]Modeler!AD139</f>
        <v>0</v>
      </c>
      <c r="AC139" s="32">
        <f>[1]Modeler!AE139</f>
        <v>0</v>
      </c>
      <c r="AD139" s="29">
        <f>[1]Modeler!AF139</f>
        <v>0</v>
      </c>
      <c r="AE139" s="34">
        <f>[1]Modeler!AG139</f>
        <v>0</v>
      </c>
    </row>
    <row r="140" spans="1:31" x14ac:dyDescent="0.2">
      <c r="A140" s="29">
        <f>[1]Modeler!A140</f>
        <v>0</v>
      </c>
      <c r="B140" s="29">
        <f>[1]Modeler!B140</f>
        <v>0</v>
      </c>
      <c r="C140" s="29">
        <f>[1]Modeler!C140</f>
        <v>0</v>
      </c>
      <c r="D140" s="37">
        <f>[1]Modeler!D140</f>
        <v>0</v>
      </c>
      <c r="E140" s="29">
        <f>[1]Modeler!F140</f>
        <v>0</v>
      </c>
      <c r="F140" s="29">
        <f>[1]Modeler!G140</f>
        <v>0</v>
      </c>
      <c r="G140" s="32">
        <f>[1]Modeler!H140</f>
        <v>0</v>
      </c>
      <c r="H140" s="29">
        <f>[1]Modeler!J140</f>
        <v>0</v>
      </c>
      <c r="I140" s="29">
        <f>[1]Modeler!K140</f>
        <v>0</v>
      </c>
      <c r="J140" s="29">
        <f>[1]Modeler!L140</f>
        <v>0</v>
      </c>
      <c r="K140" s="29" t="str">
        <f>[1]Modeler!M140</f>
        <v/>
      </c>
      <c r="L140" s="32">
        <f>[1]Modeler!N140</f>
        <v>0</v>
      </c>
      <c r="M140" s="29">
        <f>[1]Modeler!O140</f>
        <v>0</v>
      </c>
      <c r="N140" s="34">
        <f>[1]Modeler!P140</f>
        <v>0</v>
      </c>
      <c r="O140" s="32">
        <f>[1]Modeler!Q140</f>
        <v>0</v>
      </c>
      <c r="P140" s="29">
        <f>[1]Modeler!R140</f>
        <v>0</v>
      </c>
      <c r="Q140" s="34">
        <f>[1]Modeler!S140</f>
        <v>0</v>
      </c>
      <c r="R140" s="29">
        <f>[1]Modeler!T140</f>
        <v>0</v>
      </c>
      <c r="S140" s="29">
        <f>[1]Modeler!U140</f>
        <v>0</v>
      </c>
      <c r="T140" s="32">
        <f>[1]Modeler!V140</f>
        <v>0</v>
      </c>
      <c r="U140" s="29">
        <f>[1]Modeler!W140</f>
        <v>0</v>
      </c>
      <c r="V140" s="29">
        <f>[1]Modeler!X140</f>
        <v>0</v>
      </c>
      <c r="W140" s="32">
        <f>[1]Modeler!Y140</f>
        <v>0</v>
      </c>
      <c r="X140" s="29">
        <f>[1]Modeler!Z140</f>
        <v>0</v>
      </c>
      <c r="Y140" s="29">
        <f>[1]Modeler!AA140</f>
        <v>0</v>
      </c>
      <c r="Z140" s="32">
        <f>[1]Modeler!AB140</f>
        <v>0</v>
      </c>
      <c r="AA140" s="29">
        <f>[1]Modeler!AC140</f>
        <v>0</v>
      </c>
      <c r="AB140" s="29">
        <f>[1]Modeler!AD140</f>
        <v>0</v>
      </c>
      <c r="AC140" s="32">
        <f>[1]Modeler!AE140</f>
        <v>0</v>
      </c>
      <c r="AD140" s="29">
        <f>[1]Modeler!AF140</f>
        <v>0</v>
      </c>
      <c r="AE140" s="34">
        <f>[1]Modeler!AG140</f>
        <v>0</v>
      </c>
    </row>
    <row r="141" spans="1:31" x14ac:dyDescent="0.2">
      <c r="A141" s="29">
        <f>[1]Modeler!A141</f>
        <v>0</v>
      </c>
      <c r="B141" s="29">
        <f>[1]Modeler!B141</f>
        <v>0</v>
      </c>
      <c r="C141" s="29">
        <f>[1]Modeler!C141</f>
        <v>0</v>
      </c>
      <c r="D141" s="37">
        <f>[1]Modeler!D141</f>
        <v>0</v>
      </c>
      <c r="E141" s="29">
        <f>[1]Modeler!F141</f>
        <v>0</v>
      </c>
      <c r="F141" s="29">
        <f>[1]Modeler!G141</f>
        <v>0</v>
      </c>
      <c r="G141" s="32">
        <f>[1]Modeler!H141</f>
        <v>0</v>
      </c>
      <c r="H141" s="29">
        <f>[1]Modeler!J141</f>
        <v>0</v>
      </c>
      <c r="I141" s="29">
        <f>[1]Modeler!K141</f>
        <v>0</v>
      </c>
      <c r="J141" s="29">
        <f>[1]Modeler!L141</f>
        <v>0</v>
      </c>
      <c r="K141" s="29" t="str">
        <f>[1]Modeler!M141</f>
        <v/>
      </c>
      <c r="L141" s="32">
        <f>[1]Modeler!N141</f>
        <v>0</v>
      </c>
      <c r="M141" s="29">
        <f>[1]Modeler!O141</f>
        <v>0</v>
      </c>
      <c r="N141" s="34">
        <f>[1]Modeler!P141</f>
        <v>0</v>
      </c>
      <c r="O141" s="32">
        <f>[1]Modeler!Q141</f>
        <v>0</v>
      </c>
      <c r="P141" s="29">
        <f>[1]Modeler!R141</f>
        <v>0</v>
      </c>
      <c r="Q141" s="34">
        <f>[1]Modeler!S141</f>
        <v>0</v>
      </c>
      <c r="R141" s="29">
        <f>[1]Modeler!T141</f>
        <v>0</v>
      </c>
      <c r="S141" s="29">
        <f>[1]Modeler!U141</f>
        <v>0</v>
      </c>
      <c r="T141" s="32">
        <f>[1]Modeler!V141</f>
        <v>0</v>
      </c>
      <c r="U141" s="29">
        <f>[1]Modeler!W141</f>
        <v>0</v>
      </c>
      <c r="V141" s="29">
        <f>[1]Modeler!X141</f>
        <v>0</v>
      </c>
      <c r="W141" s="32">
        <f>[1]Modeler!Y141</f>
        <v>0</v>
      </c>
      <c r="X141" s="29">
        <f>[1]Modeler!Z141</f>
        <v>0</v>
      </c>
      <c r="Y141" s="29">
        <f>[1]Modeler!AA141</f>
        <v>0</v>
      </c>
      <c r="Z141" s="32">
        <f>[1]Modeler!AB141</f>
        <v>0</v>
      </c>
      <c r="AA141" s="29">
        <f>[1]Modeler!AC141</f>
        <v>0</v>
      </c>
      <c r="AB141" s="29">
        <f>[1]Modeler!AD141</f>
        <v>0</v>
      </c>
      <c r="AC141" s="32">
        <f>[1]Modeler!AE141</f>
        <v>0</v>
      </c>
      <c r="AD141" s="29">
        <f>[1]Modeler!AF141</f>
        <v>0</v>
      </c>
      <c r="AE141" s="34">
        <f>[1]Modeler!AG141</f>
        <v>0</v>
      </c>
    </row>
    <row r="142" spans="1:31" x14ac:dyDescent="0.2">
      <c r="A142" s="29">
        <f>[1]Modeler!A142</f>
        <v>0</v>
      </c>
      <c r="B142" s="29">
        <f>[1]Modeler!B142</f>
        <v>0</v>
      </c>
      <c r="C142" s="29">
        <f>[1]Modeler!C142</f>
        <v>0</v>
      </c>
      <c r="D142" s="37">
        <f>[1]Modeler!D142</f>
        <v>0</v>
      </c>
      <c r="E142" s="29">
        <f>[1]Modeler!F142</f>
        <v>0</v>
      </c>
      <c r="F142" s="29">
        <f>[1]Modeler!G142</f>
        <v>0</v>
      </c>
      <c r="G142" s="32">
        <f>[1]Modeler!H142</f>
        <v>0</v>
      </c>
      <c r="H142" s="29">
        <f>[1]Modeler!J142</f>
        <v>0</v>
      </c>
      <c r="I142" s="29">
        <f>[1]Modeler!K142</f>
        <v>0</v>
      </c>
      <c r="J142" s="29">
        <f>[1]Modeler!L142</f>
        <v>0</v>
      </c>
      <c r="K142" s="29" t="str">
        <f>[1]Modeler!M142</f>
        <v/>
      </c>
      <c r="L142" s="32">
        <f>[1]Modeler!N142</f>
        <v>0</v>
      </c>
      <c r="M142" s="29">
        <f>[1]Modeler!O142</f>
        <v>0</v>
      </c>
      <c r="N142" s="34">
        <f>[1]Modeler!P142</f>
        <v>0</v>
      </c>
      <c r="O142" s="32">
        <f>[1]Modeler!Q142</f>
        <v>0</v>
      </c>
      <c r="P142" s="29">
        <f>[1]Modeler!R142</f>
        <v>0</v>
      </c>
      <c r="Q142" s="34">
        <f>[1]Modeler!S142</f>
        <v>0</v>
      </c>
      <c r="R142" s="29">
        <f>[1]Modeler!T142</f>
        <v>0</v>
      </c>
      <c r="S142" s="29">
        <f>[1]Modeler!U142</f>
        <v>0</v>
      </c>
      <c r="T142" s="32">
        <f>[1]Modeler!V142</f>
        <v>0</v>
      </c>
      <c r="U142" s="29">
        <f>[1]Modeler!W142</f>
        <v>0</v>
      </c>
      <c r="V142" s="29">
        <f>[1]Modeler!X142</f>
        <v>0</v>
      </c>
      <c r="W142" s="32">
        <f>[1]Modeler!Y142</f>
        <v>0</v>
      </c>
      <c r="X142" s="29">
        <f>[1]Modeler!Z142</f>
        <v>0</v>
      </c>
      <c r="Y142" s="29">
        <f>[1]Modeler!AA142</f>
        <v>0</v>
      </c>
      <c r="Z142" s="32">
        <f>[1]Modeler!AB142</f>
        <v>0</v>
      </c>
      <c r="AA142" s="29">
        <f>[1]Modeler!AC142</f>
        <v>0</v>
      </c>
      <c r="AB142" s="29">
        <f>[1]Modeler!AD142</f>
        <v>0</v>
      </c>
      <c r="AC142" s="32">
        <f>[1]Modeler!AE142</f>
        <v>0</v>
      </c>
      <c r="AD142" s="29">
        <f>[1]Modeler!AF142</f>
        <v>0</v>
      </c>
      <c r="AE142" s="34">
        <f>[1]Modeler!AG142</f>
        <v>0</v>
      </c>
    </row>
    <row r="143" spans="1:31" x14ac:dyDescent="0.2">
      <c r="A143" s="29">
        <f>[1]Modeler!A143</f>
        <v>0</v>
      </c>
      <c r="B143" s="29">
        <f>[1]Modeler!B143</f>
        <v>0</v>
      </c>
      <c r="C143" s="29">
        <f>[1]Modeler!C143</f>
        <v>0</v>
      </c>
      <c r="D143" s="37">
        <f>[1]Modeler!D143</f>
        <v>0</v>
      </c>
      <c r="E143" s="29">
        <f>[1]Modeler!F143</f>
        <v>0</v>
      </c>
      <c r="F143" s="29">
        <f>[1]Modeler!G143</f>
        <v>0</v>
      </c>
      <c r="G143" s="32">
        <f>[1]Modeler!H143</f>
        <v>0</v>
      </c>
      <c r="H143" s="29">
        <f>[1]Modeler!J143</f>
        <v>0</v>
      </c>
      <c r="I143" s="29">
        <f>[1]Modeler!K143</f>
        <v>0</v>
      </c>
      <c r="J143" s="29">
        <f>[1]Modeler!L143</f>
        <v>0</v>
      </c>
      <c r="K143" s="29" t="str">
        <f>[1]Modeler!M143</f>
        <v/>
      </c>
      <c r="L143" s="32">
        <f>[1]Modeler!N143</f>
        <v>0</v>
      </c>
      <c r="M143" s="29">
        <f>[1]Modeler!O143</f>
        <v>0</v>
      </c>
      <c r="N143" s="34">
        <f>[1]Modeler!P143</f>
        <v>0</v>
      </c>
      <c r="O143" s="32">
        <f>[1]Modeler!Q143</f>
        <v>0</v>
      </c>
      <c r="P143" s="29">
        <f>[1]Modeler!R143</f>
        <v>0</v>
      </c>
      <c r="Q143" s="34">
        <f>[1]Modeler!S143</f>
        <v>0</v>
      </c>
      <c r="R143" s="29">
        <f>[1]Modeler!T143</f>
        <v>0</v>
      </c>
      <c r="S143" s="29">
        <f>[1]Modeler!U143</f>
        <v>0</v>
      </c>
      <c r="T143" s="32">
        <f>[1]Modeler!V143</f>
        <v>0</v>
      </c>
      <c r="U143" s="29">
        <f>[1]Modeler!W143</f>
        <v>0</v>
      </c>
      <c r="V143" s="29">
        <f>[1]Modeler!X143</f>
        <v>0</v>
      </c>
      <c r="W143" s="32">
        <f>[1]Modeler!Y143</f>
        <v>0</v>
      </c>
      <c r="X143" s="29">
        <f>[1]Modeler!Z143</f>
        <v>0</v>
      </c>
      <c r="Y143" s="29">
        <f>[1]Modeler!AA143</f>
        <v>0</v>
      </c>
      <c r="Z143" s="32">
        <f>[1]Modeler!AB143</f>
        <v>0</v>
      </c>
      <c r="AA143" s="29">
        <f>[1]Modeler!AC143</f>
        <v>0</v>
      </c>
      <c r="AB143" s="29">
        <f>[1]Modeler!AD143</f>
        <v>0</v>
      </c>
      <c r="AC143" s="32">
        <f>[1]Modeler!AE143</f>
        <v>0</v>
      </c>
      <c r="AD143" s="29">
        <f>[1]Modeler!AF143</f>
        <v>0</v>
      </c>
      <c r="AE143" s="34">
        <f>[1]Modeler!AG143</f>
        <v>0</v>
      </c>
    </row>
    <row r="144" spans="1:31" x14ac:dyDescent="0.2">
      <c r="A144" s="29">
        <f>[1]Modeler!A144</f>
        <v>0</v>
      </c>
      <c r="B144" s="29">
        <f>[1]Modeler!B144</f>
        <v>0</v>
      </c>
      <c r="C144" s="29">
        <f>[1]Modeler!C144</f>
        <v>0</v>
      </c>
      <c r="D144" s="37">
        <f>[1]Modeler!D144</f>
        <v>0</v>
      </c>
      <c r="E144" s="29">
        <f>[1]Modeler!F144</f>
        <v>0</v>
      </c>
      <c r="F144" s="29">
        <f>[1]Modeler!G144</f>
        <v>0</v>
      </c>
      <c r="G144" s="32">
        <f>[1]Modeler!H144</f>
        <v>0</v>
      </c>
      <c r="H144" s="29">
        <f>[1]Modeler!J144</f>
        <v>0</v>
      </c>
      <c r="I144" s="29">
        <f>[1]Modeler!K144</f>
        <v>0</v>
      </c>
      <c r="J144" s="29">
        <f>[1]Modeler!L144</f>
        <v>0</v>
      </c>
      <c r="K144" s="29" t="str">
        <f>[1]Modeler!M144</f>
        <v/>
      </c>
      <c r="L144" s="32">
        <f>[1]Modeler!N144</f>
        <v>0</v>
      </c>
      <c r="M144" s="29">
        <f>[1]Modeler!O144</f>
        <v>0</v>
      </c>
      <c r="N144" s="34">
        <f>[1]Modeler!P144</f>
        <v>0</v>
      </c>
      <c r="O144" s="32">
        <f>[1]Modeler!Q144</f>
        <v>0</v>
      </c>
      <c r="P144" s="29">
        <f>[1]Modeler!R144</f>
        <v>0</v>
      </c>
      <c r="Q144" s="34">
        <f>[1]Modeler!S144</f>
        <v>0</v>
      </c>
      <c r="R144" s="29">
        <f>[1]Modeler!T144</f>
        <v>0</v>
      </c>
      <c r="S144" s="29">
        <f>[1]Modeler!U144</f>
        <v>0</v>
      </c>
      <c r="T144" s="32">
        <f>[1]Modeler!V144</f>
        <v>0</v>
      </c>
      <c r="U144" s="29">
        <f>[1]Modeler!W144</f>
        <v>0</v>
      </c>
      <c r="V144" s="29">
        <f>[1]Modeler!X144</f>
        <v>0</v>
      </c>
      <c r="W144" s="32">
        <f>[1]Modeler!Y144</f>
        <v>0</v>
      </c>
      <c r="X144" s="29">
        <f>[1]Modeler!Z144</f>
        <v>0</v>
      </c>
      <c r="Y144" s="29">
        <f>[1]Modeler!AA144</f>
        <v>0</v>
      </c>
      <c r="Z144" s="32">
        <f>[1]Modeler!AB144</f>
        <v>0</v>
      </c>
      <c r="AA144" s="29">
        <f>[1]Modeler!AC144</f>
        <v>0</v>
      </c>
      <c r="AB144" s="29">
        <f>[1]Modeler!AD144</f>
        <v>0</v>
      </c>
      <c r="AC144" s="32">
        <f>[1]Modeler!AE144</f>
        <v>0</v>
      </c>
      <c r="AD144" s="29">
        <f>[1]Modeler!AF144</f>
        <v>0</v>
      </c>
      <c r="AE144" s="34">
        <f>[1]Modeler!AG144</f>
        <v>0</v>
      </c>
    </row>
    <row r="145" spans="1:31" x14ac:dyDescent="0.2">
      <c r="A145" s="29">
        <f>[1]Modeler!A145</f>
        <v>0</v>
      </c>
      <c r="B145" s="29">
        <f>[1]Modeler!B145</f>
        <v>0</v>
      </c>
      <c r="C145" s="29">
        <f>[1]Modeler!C145</f>
        <v>0</v>
      </c>
      <c r="D145" s="37">
        <f>[1]Modeler!D145</f>
        <v>0</v>
      </c>
      <c r="E145" s="29">
        <f>[1]Modeler!F145</f>
        <v>0</v>
      </c>
      <c r="F145" s="29">
        <f>[1]Modeler!G145</f>
        <v>0</v>
      </c>
      <c r="G145" s="32">
        <f>[1]Modeler!H145</f>
        <v>0</v>
      </c>
      <c r="H145" s="29">
        <f>[1]Modeler!J145</f>
        <v>0</v>
      </c>
      <c r="I145" s="29">
        <f>[1]Modeler!K145</f>
        <v>0</v>
      </c>
      <c r="J145" s="29">
        <f>[1]Modeler!L145</f>
        <v>0</v>
      </c>
      <c r="K145" s="29" t="str">
        <f>[1]Modeler!M145</f>
        <v/>
      </c>
      <c r="L145" s="32">
        <f>[1]Modeler!N145</f>
        <v>0</v>
      </c>
      <c r="M145" s="29">
        <f>[1]Modeler!O145</f>
        <v>0</v>
      </c>
      <c r="N145" s="34">
        <f>[1]Modeler!P145</f>
        <v>0</v>
      </c>
      <c r="O145" s="32">
        <f>[1]Modeler!Q145</f>
        <v>0</v>
      </c>
      <c r="P145" s="29">
        <f>[1]Modeler!R145</f>
        <v>0</v>
      </c>
      <c r="Q145" s="34">
        <f>[1]Modeler!S145</f>
        <v>0</v>
      </c>
      <c r="R145" s="29">
        <f>[1]Modeler!T145</f>
        <v>0</v>
      </c>
      <c r="S145" s="29">
        <f>[1]Modeler!U145</f>
        <v>0</v>
      </c>
      <c r="T145" s="32">
        <f>[1]Modeler!V145</f>
        <v>0</v>
      </c>
      <c r="U145" s="29">
        <f>[1]Modeler!W145</f>
        <v>0</v>
      </c>
      <c r="V145" s="29">
        <f>[1]Modeler!X145</f>
        <v>0</v>
      </c>
      <c r="W145" s="32">
        <f>[1]Modeler!Y145</f>
        <v>0</v>
      </c>
      <c r="X145" s="29">
        <f>[1]Modeler!Z145</f>
        <v>0</v>
      </c>
      <c r="Y145" s="29">
        <f>[1]Modeler!AA145</f>
        <v>0</v>
      </c>
      <c r="Z145" s="32">
        <f>[1]Modeler!AB145</f>
        <v>0</v>
      </c>
      <c r="AA145" s="29">
        <f>[1]Modeler!AC145</f>
        <v>0</v>
      </c>
      <c r="AB145" s="29">
        <f>[1]Modeler!AD145</f>
        <v>0</v>
      </c>
      <c r="AC145" s="32">
        <f>[1]Modeler!AE145</f>
        <v>0</v>
      </c>
      <c r="AD145" s="29">
        <f>[1]Modeler!AF145</f>
        <v>0</v>
      </c>
      <c r="AE145" s="34">
        <f>[1]Modeler!AG145</f>
        <v>0</v>
      </c>
    </row>
    <row r="146" spans="1:31" x14ac:dyDescent="0.2">
      <c r="A146" s="29">
        <f>[1]Modeler!A155</f>
        <v>0</v>
      </c>
      <c r="B146" s="29">
        <f>[1]Modeler!B155</f>
        <v>0</v>
      </c>
      <c r="C146" s="29">
        <f>[1]Modeler!C155</f>
        <v>0</v>
      </c>
      <c r="D146" s="37">
        <f>[1]Modeler!D155</f>
        <v>0</v>
      </c>
      <c r="E146" s="29">
        <f>[1]Modeler!F155</f>
        <v>0</v>
      </c>
      <c r="F146" s="29">
        <f>[1]Modeler!G155</f>
        <v>0</v>
      </c>
      <c r="G146" s="32">
        <f>[1]Modeler!H155</f>
        <v>0</v>
      </c>
      <c r="H146" s="29">
        <f>[1]Modeler!J155</f>
        <v>0</v>
      </c>
      <c r="I146" s="29">
        <f>[1]Modeler!K155</f>
        <v>0</v>
      </c>
      <c r="J146" s="29">
        <f>[1]Modeler!L155</f>
        <v>0</v>
      </c>
      <c r="K146" s="29">
        <f>[1]Modeler!M155</f>
        <v>0</v>
      </c>
      <c r="L146" s="32">
        <f>[1]Modeler!N155</f>
        <v>0</v>
      </c>
      <c r="M146" s="29">
        <f>[1]Modeler!O155</f>
        <v>0</v>
      </c>
      <c r="N146" s="34">
        <f>[1]Modeler!P155</f>
        <v>0</v>
      </c>
      <c r="O146" s="32">
        <f>[1]Modeler!Q155</f>
        <v>0</v>
      </c>
      <c r="P146" s="29">
        <f>[1]Modeler!R155</f>
        <v>0</v>
      </c>
      <c r="Q146" s="34">
        <f>[1]Modeler!S155</f>
        <v>0</v>
      </c>
      <c r="R146" s="29">
        <f>[1]Modeler!T155</f>
        <v>0</v>
      </c>
      <c r="S146" s="29">
        <f>[1]Modeler!U155</f>
        <v>0</v>
      </c>
      <c r="T146" s="32">
        <f>[1]Modeler!V155</f>
        <v>0</v>
      </c>
      <c r="U146" s="29">
        <f>[1]Modeler!W155</f>
        <v>0</v>
      </c>
      <c r="V146" s="29">
        <f>[1]Modeler!X155</f>
        <v>0</v>
      </c>
      <c r="W146" s="32">
        <f>[1]Modeler!Y155</f>
        <v>0</v>
      </c>
      <c r="X146" s="29">
        <f>[1]Modeler!Z155</f>
        <v>0</v>
      </c>
      <c r="Y146" s="29">
        <f>[1]Modeler!AA155</f>
        <v>0</v>
      </c>
      <c r="Z146" s="32">
        <f>[1]Modeler!AB155</f>
        <v>0</v>
      </c>
      <c r="AA146" s="29">
        <f>[1]Modeler!AC155</f>
        <v>0</v>
      </c>
      <c r="AB146" s="29">
        <f>[1]Modeler!AD155</f>
        <v>0</v>
      </c>
      <c r="AC146" s="32">
        <f>[1]Modeler!AE155</f>
        <v>0</v>
      </c>
      <c r="AD146" s="29">
        <f>[1]Modeler!AF155</f>
        <v>0</v>
      </c>
      <c r="AE146" s="34">
        <f>[1]Modeler!AG155</f>
        <v>0</v>
      </c>
    </row>
    <row r="147" spans="1:31" x14ac:dyDescent="0.2">
      <c r="A147" s="29">
        <f>[1]Modeler!A156</f>
        <v>0</v>
      </c>
      <c r="B147" s="29">
        <f>[1]Modeler!B156</f>
        <v>0</v>
      </c>
      <c r="C147" s="29">
        <f>[1]Modeler!C156</f>
        <v>0</v>
      </c>
      <c r="D147" s="37">
        <f>[1]Modeler!D156</f>
        <v>0</v>
      </c>
      <c r="E147" s="29">
        <f>[1]Modeler!F156</f>
        <v>0</v>
      </c>
      <c r="F147" s="29">
        <f>[1]Modeler!G156</f>
        <v>0</v>
      </c>
      <c r="G147" s="32">
        <f>[1]Modeler!H156</f>
        <v>0</v>
      </c>
      <c r="H147" s="29">
        <f>[1]Modeler!J156</f>
        <v>0</v>
      </c>
      <c r="I147" s="29">
        <f>[1]Modeler!K156</f>
        <v>0</v>
      </c>
      <c r="J147" s="29">
        <f>[1]Modeler!L156</f>
        <v>0</v>
      </c>
      <c r="K147" s="29">
        <f>[1]Modeler!M156</f>
        <v>0</v>
      </c>
      <c r="L147" s="32">
        <f>[1]Modeler!N156</f>
        <v>0</v>
      </c>
      <c r="M147" s="29">
        <f>[1]Modeler!O156</f>
        <v>0</v>
      </c>
      <c r="N147" s="34">
        <f>[1]Modeler!P156</f>
        <v>0</v>
      </c>
      <c r="O147" s="32">
        <f>[1]Modeler!Q156</f>
        <v>0</v>
      </c>
      <c r="P147" s="29">
        <f>[1]Modeler!R156</f>
        <v>0</v>
      </c>
      <c r="Q147" s="34">
        <f>[1]Modeler!S156</f>
        <v>0</v>
      </c>
      <c r="R147" s="29">
        <f>[1]Modeler!T156</f>
        <v>0</v>
      </c>
      <c r="S147" s="29">
        <f>[1]Modeler!U156</f>
        <v>0</v>
      </c>
      <c r="T147" s="32">
        <f>[1]Modeler!V156</f>
        <v>0</v>
      </c>
      <c r="U147" s="29">
        <f>[1]Modeler!W156</f>
        <v>0</v>
      </c>
      <c r="V147" s="29">
        <f>[1]Modeler!X156</f>
        <v>0</v>
      </c>
      <c r="W147" s="32">
        <f>[1]Modeler!Y156</f>
        <v>0</v>
      </c>
      <c r="X147" s="29">
        <f>[1]Modeler!Z156</f>
        <v>0</v>
      </c>
      <c r="Y147" s="29">
        <f>[1]Modeler!AA156</f>
        <v>0</v>
      </c>
      <c r="Z147" s="32">
        <f>[1]Modeler!AB156</f>
        <v>0</v>
      </c>
      <c r="AA147" s="29">
        <f>[1]Modeler!AC156</f>
        <v>0</v>
      </c>
      <c r="AB147" s="29">
        <f>[1]Modeler!AD156</f>
        <v>0</v>
      </c>
      <c r="AC147" s="32">
        <f>[1]Modeler!AE156</f>
        <v>0</v>
      </c>
      <c r="AD147" s="29">
        <f>[1]Modeler!AF156</f>
        <v>0</v>
      </c>
      <c r="AE147" s="34">
        <f>[1]Modeler!AG156</f>
        <v>0</v>
      </c>
    </row>
    <row r="148" spans="1:31" x14ac:dyDescent="0.2">
      <c r="A148" s="29">
        <f>[1]Modeler!A157</f>
        <v>0</v>
      </c>
      <c r="B148" s="29">
        <f>[1]Modeler!B157</f>
        <v>0</v>
      </c>
      <c r="C148" s="29">
        <f>[1]Modeler!C157</f>
        <v>0</v>
      </c>
      <c r="D148" s="37">
        <f>[1]Modeler!D157</f>
        <v>0</v>
      </c>
      <c r="E148" s="29">
        <f>[1]Modeler!F157</f>
        <v>0</v>
      </c>
      <c r="F148" s="29">
        <f>[1]Modeler!G157</f>
        <v>0</v>
      </c>
      <c r="G148" s="32">
        <f>[1]Modeler!H157</f>
        <v>0</v>
      </c>
      <c r="H148" s="29">
        <f>[1]Modeler!J157</f>
        <v>0</v>
      </c>
      <c r="I148" s="29">
        <f>[1]Modeler!K157</f>
        <v>0</v>
      </c>
      <c r="J148" s="29">
        <f>[1]Modeler!L157</f>
        <v>0</v>
      </c>
      <c r="K148" s="29">
        <f>[1]Modeler!M157</f>
        <v>0</v>
      </c>
      <c r="L148" s="32">
        <f>[1]Modeler!N157</f>
        <v>0</v>
      </c>
      <c r="M148" s="29">
        <f>[1]Modeler!O157</f>
        <v>0</v>
      </c>
      <c r="N148" s="34">
        <f>[1]Modeler!P157</f>
        <v>0</v>
      </c>
      <c r="O148" s="32">
        <f>[1]Modeler!Q157</f>
        <v>0</v>
      </c>
      <c r="P148" s="29">
        <f>[1]Modeler!R157</f>
        <v>0</v>
      </c>
      <c r="Q148" s="34">
        <f>[1]Modeler!S157</f>
        <v>0</v>
      </c>
      <c r="R148" s="29">
        <f>[1]Modeler!T157</f>
        <v>0</v>
      </c>
      <c r="S148" s="29">
        <f>[1]Modeler!U157</f>
        <v>0</v>
      </c>
      <c r="T148" s="32">
        <f>[1]Modeler!V157</f>
        <v>0</v>
      </c>
      <c r="U148" s="29">
        <f>[1]Modeler!W157</f>
        <v>0</v>
      </c>
      <c r="V148" s="29">
        <f>[1]Modeler!X157</f>
        <v>0</v>
      </c>
      <c r="W148" s="32">
        <f>[1]Modeler!Y157</f>
        <v>0</v>
      </c>
      <c r="X148" s="29">
        <f>[1]Modeler!Z157</f>
        <v>0</v>
      </c>
      <c r="Y148" s="29">
        <f>[1]Modeler!AA157</f>
        <v>0</v>
      </c>
      <c r="Z148" s="32">
        <f>[1]Modeler!AB157</f>
        <v>0</v>
      </c>
      <c r="AA148" s="29">
        <f>[1]Modeler!AC157</f>
        <v>0</v>
      </c>
      <c r="AB148" s="29">
        <f>[1]Modeler!AD157</f>
        <v>0</v>
      </c>
      <c r="AC148" s="32">
        <f>[1]Modeler!AE157</f>
        <v>0</v>
      </c>
      <c r="AD148" s="29">
        <f>[1]Modeler!AF157</f>
        <v>0</v>
      </c>
      <c r="AE148" s="34">
        <f>[1]Modeler!AG157</f>
        <v>0</v>
      </c>
    </row>
    <row r="149" spans="1:31" x14ac:dyDescent="0.2">
      <c r="A149" s="29">
        <f>[1]Modeler!A158</f>
        <v>0</v>
      </c>
      <c r="B149" s="29">
        <f>[1]Modeler!B158</f>
        <v>0</v>
      </c>
      <c r="C149" s="29">
        <f>[1]Modeler!C158</f>
        <v>0</v>
      </c>
      <c r="D149" s="37">
        <f>[1]Modeler!D158</f>
        <v>0</v>
      </c>
      <c r="E149" s="29">
        <f>[1]Modeler!F158</f>
        <v>0</v>
      </c>
      <c r="F149" s="29">
        <f>[1]Modeler!G158</f>
        <v>0</v>
      </c>
      <c r="G149" s="32">
        <f>[1]Modeler!H158</f>
        <v>0</v>
      </c>
      <c r="H149" s="29">
        <f>[1]Modeler!J158</f>
        <v>0</v>
      </c>
      <c r="I149" s="29">
        <f>[1]Modeler!K158</f>
        <v>0</v>
      </c>
      <c r="J149" s="29">
        <f>[1]Modeler!L158</f>
        <v>0</v>
      </c>
      <c r="K149" s="29">
        <f>[1]Modeler!M158</f>
        <v>0</v>
      </c>
      <c r="L149" s="32">
        <f>[1]Modeler!N158</f>
        <v>0</v>
      </c>
      <c r="M149" s="29">
        <f>[1]Modeler!O158</f>
        <v>0</v>
      </c>
      <c r="N149" s="34">
        <f>[1]Modeler!P158</f>
        <v>0</v>
      </c>
      <c r="O149" s="32">
        <f>[1]Modeler!Q158</f>
        <v>0</v>
      </c>
      <c r="P149" s="29">
        <f>[1]Modeler!R158</f>
        <v>0</v>
      </c>
      <c r="Q149" s="34">
        <f>[1]Modeler!S158</f>
        <v>0</v>
      </c>
      <c r="R149" s="29">
        <f>[1]Modeler!T158</f>
        <v>0</v>
      </c>
      <c r="S149" s="29">
        <f>[1]Modeler!U158</f>
        <v>0</v>
      </c>
      <c r="T149" s="32">
        <f>[1]Modeler!V158</f>
        <v>0</v>
      </c>
      <c r="U149" s="29">
        <f>[1]Modeler!W158</f>
        <v>0</v>
      </c>
      <c r="V149" s="29">
        <f>[1]Modeler!X158</f>
        <v>0</v>
      </c>
      <c r="W149" s="32">
        <f>[1]Modeler!Y158</f>
        <v>0</v>
      </c>
      <c r="X149" s="29">
        <f>[1]Modeler!Z158</f>
        <v>0</v>
      </c>
      <c r="Y149" s="29">
        <f>[1]Modeler!AA158</f>
        <v>0</v>
      </c>
      <c r="Z149" s="32">
        <f>[1]Modeler!AB158</f>
        <v>0</v>
      </c>
      <c r="AA149" s="29">
        <f>[1]Modeler!AC158</f>
        <v>0</v>
      </c>
      <c r="AB149" s="29">
        <f>[1]Modeler!AD158</f>
        <v>0</v>
      </c>
      <c r="AC149" s="32">
        <f>[1]Modeler!AE158</f>
        <v>0</v>
      </c>
      <c r="AD149" s="29">
        <f>[1]Modeler!AF158</f>
        <v>0</v>
      </c>
      <c r="AE149" s="34">
        <f>[1]Modeler!AG158</f>
        <v>0</v>
      </c>
    </row>
    <row r="150" spans="1:31" x14ac:dyDescent="0.2">
      <c r="A150" s="29">
        <f>[1]Modeler!A159</f>
        <v>0</v>
      </c>
      <c r="B150" s="29">
        <f>[1]Modeler!B159</f>
        <v>0</v>
      </c>
      <c r="C150" s="29">
        <f>[1]Modeler!C159</f>
        <v>0</v>
      </c>
      <c r="D150" s="37">
        <f>[1]Modeler!D159</f>
        <v>0</v>
      </c>
      <c r="E150" s="29">
        <f>[1]Modeler!F159</f>
        <v>0</v>
      </c>
      <c r="F150" s="29">
        <f>[1]Modeler!G159</f>
        <v>0</v>
      </c>
      <c r="G150" s="32">
        <f>[1]Modeler!H159</f>
        <v>0</v>
      </c>
      <c r="H150" s="29">
        <f>[1]Modeler!J159</f>
        <v>0</v>
      </c>
      <c r="I150" s="29">
        <f>[1]Modeler!K159</f>
        <v>0</v>
      </c>
      <c r="J150" s="29">
        <f>[1]Modeler!L159</f>
        <v>0</v>
      </c>
      <c r="K150" s="29">
        <f>[1]Modeler!M159</f>
        <v>0</v>
      </c>
      <c r="L150" s="32">
        <f>[1]Modeler!N159</f>
        <v>0</v>
      </c>
      <c r="M150" s="29">
        <f>[1]Modeler!O159</f>
        <v>0</v>
      </c>
      <c r="N150" s="34">
        <f>[1]Modeler!P159</f>
        <v>0</v>
      </c>
      <c r="O150" s="32">
        <f>[1]Modeler!Q159</f>
        <v>0</v>
      </c>
      <c r="P150" s="29">
        <f>[1]Modeler!R159</f>
        <v>0</v>
      </c>
      <c r="Q150" s="34">
        <f>[1]Modeler!S159</f>
        <v>0</v>
      </c>
      <c r="R150" s="29">
        <f>[1]Modeler!T159</f>
        <v>0</v>
      </c>
      <c r="S150" s="29">
        <f>[1]Modeler!U159</f>
        <v>0</v>
      </c>
      <c r="T150" s="32">
        <f>[1]Modeler!V159</f>
        <v>0</v>
      </c>
      <c r="U150" s="29">
        <f>[1]Modeler!W159</f>
        <v>0</v>
      </c>
      <c r="V150" s="29">
        <f>[1]Modeler!X159</f>
        <v>0</v>
      </c>
      <c r="W150" s="32">
        <f>[1]Modeler!Y159</f>
        <v>0</v>
      </c>
      <c r="X150" s="29">
        <f>[1]Modeler!Z159</f>
        <v>0</v>
      </c>
      <c r="Y150" s="29">
        <f>[1]Modeler!AA159</f>
        <v>0</v>
      </c>
      <c r="Z150" s="32">
        <f>[1]Modeler!AB159</f>
        <v>0</v>
      </c>
      <c r="AA150" s="29">
        <f>[1]Modeler!AC159</f>
        <v>0</v>
      </c>
      <c r="AB150" s="29">
        <f>[1]Modeler!AD159</f>
        <v>0</v>
      </c>
      <c r="AC150" s="32">
        <f>[1]Modeler!AE159</f>
        <v>0</v>
      </c>
      <c r="AD150" s="29">
        <f>[1]Modeler!AF159</f>
        <v>0</v>
      </c>
      <c r="AE150" s="34">
        <f>[1]Modeler!AG159</f>
        <v>0</v>
      </c>
    </row>
    <row r="151" spans="1:31" x14ac:dyDescent="0.2">
      <c r="A151" s="27"/>
      <c r="B151" s="27"/>
      <c r="C151" s="27"/>
      <c r="D151" s="35"/>
      <c r="E151" s="28"/>
      <c r="F151" s="28"/>
    </row>
    <row r="152" spans="1:31" x14ac:dyDescent="0.2">
      <c r="A152" s="27"/>
      <c r="B152" s="27"/>
      <c r="C152" s="27"/>
      <c r="D152" s="35"/>
      <c r="E152" s="28"/>
      <c r="F152" s="28"/>
    </row>
    <row r="153" spans="1:31" x14ac:dyDescent="0.2">
      <c r="A153" s="27"/>
      <c r="B153" s="27"/>
      <c r="C153" s="27"/>
      <c r="D153" s="35"/>
      <c r="E153" s="28"/>
      <c r="F153" s="28"/>
    </row>
    <row r="154" spans="1:31" x14ac:dyDescent="0.2">
      <c r="A154" s="27"/>
      <c r="B154" s="27"/>
      <c r="C154" s="27"/>
      <c r="D154" s="35"/>
      <c r="E154" s="28"/>
      <c r="F154" s="28"/>
    </row>
    <row r="155" spans="1:31" x14ac:dyDescent="0.2">
      <c r="A155" s="27"/>
      <c r="B155" s="27"/>
      <c r="C155" s="27"/>
      <c r="D155" s="35"/>
      <c r="E155" s="28"/>
      <c r="F155" s="28"/>
    </row>
    <row r="156" spans="1:31" x14ac:dyDescent="0.2">
      <c r="A156" s="27"/>
      <c r="B156" s="27"/>
      <c r="C156" s="27"/>
      <c r="D156" s="35"/>
      <c r="E156" s="28"/>
      <c r="F156" s="28"/>
    </row>
    <row r="157" spans="1:31" x14ac:dyDescent="0.2">
      <c r="A157" s="27"/>
      <c r="B157" s="27"/>
      <c r="C157" s="27"/>
      <c r="D157" s="35"/>
      <c r="E157" s="28"/>
      <c r="F157" s="28"/>
    </row>
    <row r="158" spans="1:31" x14ac:dyDescent="0.2">
      <c r="A158" s="27"/>
      <c r="B158" s="27"/>
      <c r="C158" s="27"/>
      <c r="D158" s="35"/>
      <c r="E158" s="28"/>
      <c r="F158" s="28"/>
    </row>
    <row r="159" spans="1:31" x14ac:dyDescent="0.2">
      <c r="A159" s="27"/>
      <c r="B159" s="27"/>
      <c r="C159" s="27"/>
      <c r="D159" s="35"/>
      <c r="E159" s="28"/>
      <c r="F159" s="28"/>
    </row>
    <row r="160" spans="1:31" x14ac:dyDescent="0.2">
      <c r="A160" s="27"/>
      <c r="B160" s="27"/>
      <c r="C160" s="27"/>
      <c r="D160" s="35"/>
      <c r="E160" s="28"/>
      <c r="F160" s="28"/>
    </row>
    <row r="161" spans="1:6" x14ac:dyDescent="0.2">
      <c r="A161" s="27"/>
      <c r="B161" s="27"/>
      <c r="C161" s="27"/>
      <c r="D161" s="35"/>
      <c r="E161" s="28"/>
      <c r="F161" s="28"/>
    </row>
    <row r="162" spans="1:6" x14ac:dyDescent="0.2">
      <c r="A162" s="27"/>
      <c r="B162" s="27"/>
      <c r="C162" s="27"/>
      <c r="D162" s="35"/>
      <c r="E162" s="28"/>
      <c r="F162" s="28"/>
    </row>
    <row r="163" spans="1:6" x14ac:dyDescent="0.2">
      <c r="A163" s="27"/>
      <c r="B163" s="27"/>
      <c r="C163" s="27"/>
      <c r="D163" s="35"/>
      <c r="E163" s="28"/>
      <c r="F163" s="28"/>
    </row>
    <row r="164" spans="1:6" x14ac:dyDescent="0.2">
      <c r="A164" s="27"/>
      <c r="B164" s="27"/>
      <c r="C164" s="27"/>
      <c r="D164" s="35"/>
      <c r="E164" s="28"/>
      <c r="F164" s="28"/>
    </row>
    <row r="165" spans="1:6" x14ac:dyDescent="0.2">
      <c r="A165" s="27"/>
      <c r="B165" s="27"/>
      <c r="C165" s="27"/>
      <c r="D165" s="35"/>
      <c r="E165" s="28"/>
      <c r="F165" s="28"/>
    </row>
    <row r="166" spans="1:6" x14ac:dyDescent="0.2">
      <c r="A166" s="27"/>
      <c r="B166" s="27"/>
      <c r="C166" s="27"/>
      <c r="D166" s="35"/>
      <c r="E166" s="28"/>
      <c r="F166" s="28"/>
    </row>
    <row r="167" spans="1:6" x14ac:dyDescent="0.2">
      <c r="A167" s="27"/>
      <c r="B167" s="27"/>
      <c r="C167" s="27"/>
      <c r="D167" s="35"/>
      <c r="E167" s="28"/>
      <c r="F167" s="28"/>
    </row>
    <row r="168" spans="1:6" x14ac:dyDescent="0.2">
      <c r="A168" s="27"/>
      <c r="B168" s="27"/>
      <c r="C168" s="27"/>
      <c r="D168" s="35"/>
      <c r="E168" s="28"/>
      <c r="F168" s="28"/>
    </row>
    <row r="169" spans="1:6" x14ac:dyDescent="0.2">
      <c r="A169" s="27"/>
      <c r="B169" s="27"/>
      <c r="C169" s="27"/>
      <c r="D169" s="35"/>
      <c r="E169" s="28"/>
      <c r="F169" s="28"/>
    </row>
    <row r="170" spans="1:6" x14ac:dyDescent="0.2">
      <c r="A170" s="27"/>
      <c r="B170" s="27"/>
      <c r="C170" s="27"/>
      <c r="D170" s="35"/>
      <c r="E170" s="28"/>
      <c r="F170" s="28"/>
    </row>
    <row r="171" spans="1:6" x14ac:dyDescent="0.2">
      <c r="A171" s="27"/>
      <c r="B171" s="27"/>
      <c r="C171" s="27"/>
      <c r="D171" s="35"/>
      <c r="E171" s="28"/>
      <c r="F171" s="28"/>
    </row>
    <row r="172" spans="1:6" x14ac:dyDescent="0.2">
      <c r="A172" s="27"/>
      <c r="B172" s="27"/>
      <c r="C172" s="27"/>
      <c r="D172" s="35"/>
      <c r="E172" s="28"/>
      <c r="F172" s="28"/>
    </row>
    <row r="173" spans="1:6" x14ac:dyDescent="0.2">
      <c r="A173" s="27"/>
      <c r="B173" s="27"/>
      <c r="C173" s="27"/>
      <c r="D173" s="35"/>
      <c r="E173" s="28"/>
      <c r="F173" s="28"/>
    </row>
    <row r="174" spans="1:6" x14ac:dyDescent="0.2">
      <c r="A174" s="27"/>
      <c r="B174" s="27"/>
      <c r="C174" s="27"/>
      <c r="D174" s="35"/>
      <c r="E174" s="28"/>
      <c r="F174" s="28"/>
    </row>
    <row r="175" spans="1:6" x14ac:dyDescent="0.2">
      <c r="A175" s="27"/>
      <c r="B175" s="27"/>
      <c r="C175" s="27"/>
      <c r="D175" s="35"/>
      <c r="E175" s="28"/>
      <c r="F175" s="28"/>
    </row>
    <row r="176" spans="1:6" x14ac:dyDescent="0.2">
      <c r="A176" s="27"/>
      <c r="B176" s="27"/>
      <c r="C176" s="27"/>
      <c r="D176" s="35"/>
      <c r="E176" s="28"/>
      <c r="F176" s="28"/>
    </row>
    <row r="177" spans="1:6" x14ac:dyDescent="0.2">
      <c r="A177" s="27"/>
      <c r="B177" s="27"/>
      <c r="C177" s="27"/>
      <c r="D177" s="35"/>
      <c r="E177" s="28"/>
      <c r="F177" s="28"/>
    </row>
    <row r="178" spans="1:6" x14ac:dyDescent="0.2">
      <c r="A178" s="27"/>
      <c r="B178" s="27"/>
      <c r="C178" s="27"/>
      <c r="D178" s="35"/>
      <c r="E178" s="28"/>
      <c r="F178" s="28"/>
    </row>
    <row r="179" spans="1:6" x14ac:dyDescent="0.2">
      <c r="A179" s="27"/>
      <c r="B179" s="27"/>
      <c r="C179" s="27"/>
      <c r="D179" s="35"/>
      <c r="E179" s="28"/>
      <c r="F179" s="28"/>
    </row>
    <row r="180" spans="1:6" x14ac:dyDescent="0.2">
      <c r="A180" s="27"/>
      <c r="B180" s="27"/>
      <c r="C180" s="27"/>
      <c r="D180" s="35"/>
      <c r="E180" s="28"/>
      <c r="F180" s="28"/>
    </row>
    <row r="181" spans="1:6" x14ac:dyDescent="0.2">
      <c r="A181" s="27"/>
      <c r="B181" s="27"/>
      <c r="C181" s="27"/>
      <c r="D181" s="35"/>
      <c r="E181" s="28"/>
      <c r="F181" s="28"/>
    </row>
    <row r="182" spans="1:6" x14ac:dyDescent="0.2">
      <c r="A182" s="27"/>
      <c r="B182" s="27"/>
      <c r="C182" s="27"/>
      <c r="D182" s="35"/>
      <c r="E182" s="28"/>
      <c r="F182" s="28"/>
    </row>
    <row r="183" spans="1:6" x14ac:dyDescent="0.2">
      <c r="A183" s="27"/>
      <c r="B183" s="27"/>
      <c r="C183" s="27"/>
      <c r="D183" s="35"/>
      <c r="E183" s="28"/>
      <c r="F183" s="28"/>
    </row>
    <row r="184" spans="1:6" x14ac:dyDescent="0.2">
      <c r="A184" s="27"/>
      <c r="B184" s="27"/>
      <c r="C184" s="27"/>
      <c r="D184" s="35"/>
      <c r="E184" s="28"/>
      <c r="F184" s="28"/>
    </row>
    <row r="185" spans="1:6" x14ac:dyDescent="0.2">
      <c r="A185" s="27"/>
      <c r="B185" s="27"/>
      <c r="C185" s="27"/>
      <c r="D185" s="35"/>
      <c r="E185" s="28"/>
      <c r="F185" s="28"/>
    </row>
    <row r="186" spans="1:6" x14ac:dyDescent="0.2">
      <c r="A186" s="27"/>
      <c r="B186" s="27"/>
      <c r="C186" s="27"/>
      <c r="D186" s="35"/>
      <c r="E186" s="28"/>
      <c r="F186" s="28"/>
    </row>
    <row r="187" spans="1:6" x14ac:dyDescent="0.2">
      <c r="A187" s="27"/>
      <c r="B187" s="27"/>
      <c r="C187" s="27"/>
      <c r="D187" s="35"/>
      <c r="E187" s="28"/>
      <c r="F187" s="28"/>
    </row>
    <row r="188" spans="1:6" x14ac:dyDescent="0.2">
      <c r="A188" s="27"/>
      <c r="B188" s="27"/>
      <c r="C188" s="27"/>
      <c r="D188" s="35"/>
      <c r="E188" s="28"/>
      <c r="F188" s="28"/>
    </row>
    <row r="189" spans="1:6" x14ac:dyDescent="0.2">
      <c r="A189" s="27"/>
      <c r="B189" s="27"/>
      <c r="C189" s="27"/>
      <c r="D189" s="35"/>
      <c r="E189" s="28"/>
      <c r="F189" s="28"/>
    </row>
    <row r="190" spans="1:6" x14ac:dyDescent="0.2">
      <c r="A190" s="27"/>
      <c r="B190" s="27"/>
      <c r="C190" s="27"/>
      <c r="D190" s="35"/>
      <c r="E190" s="28"/>
      <c r="F190" s="28"/>
    </row>
    <row r="191" spans="1:6" x14ac:dyDescent="0.2">
      <c r="A191" s="27"/>
      <c r="B191" s="27"/>
      <c r="C191" s="27"/>
      <c r="D191" s="35"/>
      <c r="E191" s="28"/>
      <c r="F191" s="28"/>
    </row>
    <row r="192" spans="1:6" x14ac:dyDescent="0.2">
      <c r="A192" s="27"/>
      <c r="B192" s="27"/>
      <c r="C192" s="27"/>
      <c r="D192" s="35"/>
      <c r="E192" s="28"/>
      <c r="F192" s="28"/>
    </row>
    <row r="193" spans="1:6" x14ac:dyDescent="0.2">
      <c r="A193" s="27"/>
      <c r="B193" s="27"/>
      <c r="C193" s="27"/>
      <c r="D193" s="35"/>
      <c r="E193" s="28"/>
      <c r="F193" s="28"/>
    </row>
    <row r="194" spans="1:6" x14ac:dyDescent="0.2">
      <c r="A194" s="27"/>
      <c r="B194" s="27"/>
      <c r="C194" s="27"/>
      <c r="D194" s="35"/>
      <c r="E194" s="28"/>
      <c r="F194" s="28"/>
    </row>
    <row r="195" spans="1:6" x14ac:dyDescent="0.2">
      <c r="A195" s="27"/>
      <c r="B195" s="27"/>
      <c r="C195" s="27"/>
      <c r="D195" s="35"/>
      <c r="E195" s="28"/>
      <c r="F195" s="28"/>
    </row>
    <row r="196" spans="1:6" x14ac:dyDescent="0.2">
      <c r="A196" s="27"/>
      <c r="B196" s="27"/>
      <c r="C196" s="27"/>
      <c r="D196" s="35"/>
      <c r="E196" s="28"/>
      <c r="F196" s="28"/>
    </row>
    <row r="197" spans="1:6" x14ac:dyDescent="0.2">
      <c r="A197" s="27"/>
      <c r="B197" s="27"/>
      <c r="C197" s="27"/>
      <c r="D197" s="35"/>
      <c r="E197" s="28"/>
      <c r="F197" s="28"/>
    </row>
    <row r="198" spans="1:6" x14ac:dyDescent="0.2">
      <c r="A198" s="27"/>
      <c r="B198" s="27"/>
      <c r="C198" s="27"/>
      <c r="D198" s="35"/>
      <c r="E198" s="28"/>
      <c r="F198" s="28"/>
    </row>
    <row r="199" spans="1:6" x14ac:dyDescent="0.2">
      <c r="A199" s="27"/>
      <c r="B199" s="27"/>
      <c r="C199" s="27"/>
      <c r="D199" s="35"/>
      <c r="E199" s="28"/>
      <c r="F199" s="28"/>
    </row>
    <row r="200" spans="1:6" x14ac:dyDescent="0.2">
      <c r="A200" s="27"/>
      <c r="B200" s="27"/>
      <c r="C200" s="27"/>
      <c r="D200" s="35"/>
      <c r="E200" s="28"/>
      <c r="F200" s="28"/>
    </row>
    <row r="201" spans="1:6" x14ac:dyDescent="0.2">
      <c r="A201" s="27"/>
      <c r="B201" s="27"/>
      <c r="C201" s="27"/>
      <c r="D201" s="35"/>
      <c r="E201" s="28"/>
      <c r="F201" s="28"/>
    </row>
    <row r="202" spans="1:6" x14ac:dyDescent="0.2">
      <c r="A202" s="27"/>
      <c r="B202" s="27"/>
      <c r="C202" s="27"/>
      <c r="D202" s="35"/>
      <c r="E202" s="28"/>
      <c r="F202" s="28"/>
    </row>
    <row r="203" spans="1:6" x14ac:dyDescent="0.2">
      <c r="A203" s="27"/>
      <c r="B203" s="27"/>
      <c r="C203" s="27"/>
      <c r="D203" s="35"/>
      <c r="E203" s="28"/>
      <c r="F203" s="28"/>
    </row>
    <row r="204" spans="1:6" x14ac:dyDescent="0.2">
      <c r="A204" s="27"/>
      <c r="B204" s="27"/>
      <c r="C204" s="27"/>
      <c r="D204" s="35"/>
      <c r="E204" s="28"/>
      <c r="F204" s="28"/>
    </row>
    <row r="205" spans="1:6" x14ac:dyDescent="0.2">
      <c r="A205" s="27"/>
      <c r="B205" s="27"/>
      <c r="C205" s="27"/>
      <c r="D205" s="35"/>
      <c r="E205" s="28"/>
      <c r="F205" s="28"/>
    </row>
    <row r="206" spans="1:6" x14ac:dyDescent="0.2">
      <c r="A206" s="27"/>
      <c r="B206" s="27"/>
      <c r="C206" s="27"/>
      <c r="D206" s="35"/>
      <c r="E206" s="28"/>
      <c r="F206" s="28"/>
    </row>
    <row r="207" spans="1:6" x14ac:dyDescent="0.2">
      <c r="A207" s="27"/>
      <c r="B207" s="27"/>
      <c r="C207" s="27"/>
      <c r="D207" s="35"/>
      <c r="E207" s="28"/>
      <c r="F207" s="28"/>
    </row>
    <row r="208" spans="1:6" x14ac:dyDescent="0.2">
      <c r="A208" s="27"/>
      <c r="B208" s="27"/>
      <c r="C208" s="27"/>
      <c r="D208" s="35"/>
      <c r="E208" s="28"/>
      <c r="F208" s="28"/>
    </row>
    <row r="209" spans="1:6" x14ac:dyDescent="0.2">
      <c r="A209" s="27"/>
      <c r="B209" s="27"/>
      <c r="C209" s="27"/>
      <c r="D209" s="35"/>
      <c r="E209" s="28"/>
      <c r="F209" s="28"/>
    </row>
    <row r="210" spans="1:6" x14ac:dyDescent="0.2">
      <c r="A210" s="27"/>
      <c r="B210" s="27"/>
      <c r="C210" s="27"/>
      <c r="D210" s="35"/>
      <c r="E210" s="28"/>
      <c r="F210" s="28"/>
    </row>
    <row r="211" spans="1:6" x14ac:dyDescent="0.2">
      <c r="A211" s="27"/>
      <c r="B211" s="27"/>
      <c r="C211" s="27"/>
      <c r="D211" s="35"/>
      <c r="E211" s="28"/>
      <c r="F211" s="28"/>
    </row>
    <row r="212" spans="1:6" x14ac:dyDescent="0.2">
      <c r="A212" s="27"/>
      <c r="B212" s="27"/>
      <c r="C212" s="27"/>
      <c r="D212" s="35"/>
      <c r="E212" s="28"/>
      <c r="F212" s="28"/>
    </row>
    <row r="213" spans="1:6" x14ac:dyDescent="0.2">
      <c r="A213" s="27"/>
      <c r="B213" s="27"/>
      <c r="C213" s="27"/>
      <c r="D213" s="35"/>
      <c r="E213" s="28"/>
      <c r="F213" s="28"/>
    </row>
    <row r="214" spans="1:6" x14ac:dyDescent="0.2">
      <c r="A214" s="27"/>
      <c r="B214" s="27"/>
      <c r="C214" s="27"/>
      <c r="D214" s="35"/>
      <c r="E214" s="28"/>
      <c r="F214" s="28"/>
    </row>
    <row r="215" spans="1:6" x14ac:dyDescent="0.2">
      <c r="A215" s="27"/>
      <c r="B215" s="27"/>
      <c r="C215" s="27"/>
      <c r="D215" s="35"/>
      <c r="E215" s="28"/>
      <c r="F215" s="28"/>
    </row>
    <row r="216" spans="1:6" x14ac:dyDescent="0.2">
      <c r="A216" s="27"/>
      <c r="B216" s="27"/>
      <c r="C216" s="27"/>
      <c r="D216" s="35"/>
      <c r="E216" s="28"/>
      <c r="F216" s="28"/>
    </row>
    <row r="217" spans="1:6" x14ac:dyDescent="0.2">
      <c r="A217" s="27"/>
      <c r="B217" s="27"/>
      <c r="C217" s="27"/>
      <c r="D217" s="35"/>
      <c r="E217" s="28"/>
      <c r="F217" s="28"/>
    </row>
    <row r="218" spans="1:6" x14ac:dyDescent="0.2">
      <c r="A218" s="27"/>
      <c r="B218" s="27"/>
      <c r="C218" s="27"/>
      <c r="D218" s="35"/>
      <c r="E218" s="28"/>
      <c r="F218" s="28"/>
    </row>
    <row r="219" spans="1:6" x14ac:dyDescent="0.2">
      <c r="A219" s="27"/>
      <c r="B219" s="27"/>
      <c r="C219" s="27"/>
      <c r="D219" s="35"/>
      <c r="E219" s="28"/>
      <c r="F219" s="28"/>
    </row>
    <row r="220" spans="1:6" x14ac:dyDescent="0.2">
      <c r="A220" s="27"/>
      <c r="B220" s="27"/>
      <c r="C220" s="27"/>
      <c r="D220" s="35"/>
      <c r="E220" s="28"/>
      <c r="F220" s="28"/>
    </row>
    <row r="221" spans="1:6" x14ac:dyDescent="0.2">
      <c r="A221" s="27"/>
      <c r="B221" s="27"/>
      <c r="C221" s="27"/>
      <c r="D221" s="35"/>
      <c r="E221" s="28"/>
      <c r="F221" s="28"/>
    </row>
    <row r="222" spans="1:6" x14ac:dyDescent="0.2">
      <c r="A222" s="27"/>
      <c r="B222" s="27"/>
      <c r="C222" s="27"/>
      <c r="D222" s="35"/>
      <c r="E222" s="28"/>
      <c r="F222" s="28"/>
    </row>
    <row r="223" spans="1:6" x14ac:dyDescent="0.2">
      <c r="A223" s="27"/>
      <c r="B223" s="27"/>
      <c r="C223" s="27"/>
      <c r="D223" s="35"/>
      <c r="E223" s="28"/>
      <c r="F223" s="28"/>
    </row>
    <row r="224" spans="1:6" x14ac:dyDescent="0.2">
      <c r="A224" s="27"/>
      <c r="B224" s="27"/>
      <c r="C224" s="27"/>
      <c r="D224" s="35"/>
      <c r="E224" s="28"/>
      <c r="F224" s="28"/>
    </row>
    <row r="225" spans="1:6" x14ac:dyDescent="0.2">
      <c r="A225" s="27"/>
      <c r="B225" s="27"/>
      <c r="C225" s="27"/>
      <c r="D225" s="35"/>
      <c r="E225" s="28"/>
      <c r="F225" s="28"/>
    </row>
    <row r="226" spans="1:6" x14ac:dyDescent="0.2">
      <c r="A226" s="27"/>
      <c r="B226" s="27"/>
      <c r="C226" s="27"/>
      <c r="D226" s="35"/>
      <c r="E226" s="28"/>
      <c r="F226" s="28"/>
    </row>
    <row r="227" spans="1:6" x14ac:dyDescent="0.2">
      <c r="A227" s="27"/>
      <c r="B227" s="27"/>
      <c r="C227" s="27"/>
      <c r="D227" s="35"/>
      <c r="E227" s="28"/>
      <c r="F227" s="28"/>
    </row>
    <row r="228" spans="1:6" x14ac:dyDescent="0.2">
      <c r="A228" s="27"/>
      <c r="B228" s="27"/>
      <c r="C228" s="27"/>
      <c r="D228" s="35"/>
      <c r="E228" s="28"/>
      <c r="F228" s="28"/>
    </row>
    <row r="229" spans="1:6" x14ac:dyDescent="0.2">
      <c r="A229" s="27"/>
      <c r="B229" s="27"/>
      <c r="C229" s="27"/>
      <c r="D229" s="35"/>
      <c r="E229" s="28"/>
      <c r="F229" s="28"/>
    </row>
    <row r="230" spans="1:6" x14ac:dyDescent="0.2">
      <c r="A230" s="27"/>
      <c r="B230" s="27"/>
      <c r="C230" s="27"/>
      <c r="D230" s="35"/>
      <c r="E230" s="28"/>
      <c r="F230" s="28"/>
    </row>
    <row r="231" spans="1:6" x14ac:dyDescent="0.2">
      <c r="A231" s="27"/>
      <c r="B231" s="27"/>
      <c r="C231" s="27"/>
      <c r="D231" s="35"/>
      <c r="E231" s="28"/>
      <c r="F231" s="28"/>
    </row>
    <row r="232" spans="1:6" x14ac:dyDescent="0.2">
      <c r="A232" s="27"/>
      <c r="B232" s="27"/>
      <c r="C232" s="27"/>
      <c r="D232" s="35"/>
      <c r="E232" s="28"/>
      <c r="F232" s="28"/>
    </row>
    <row r="233" spans="1:6" x14ac:dyDescent="0.2">
      <c r="A233" s="27"/>
      <c r="B233" s="27"/>
      <c r="C233" s="27"/>
      <c r="D233" s="35"/>
      <c r="E233" s="28"/>
      <c r="F233" s="28"/>
    </row>
    <row r="234" spans="1:6" x14ac:dyDescent="0.2">
      <c r="A234" s="27"/>
      <c r="B234" s="27"/>
      <c r="C234" s="27"/>
      <c r="D234" s="35"/>
      <c r="E234" s="28"/>
      <c r="F234" s="28"/>
    </row>
    <row r="235" spans="1:6" x14ac:dyDescent="0.2">
      <c r="A235" s="27"/>
      <c r="B235" s="27"/>
      <c r="C235" s="27"/>
      <c r="D235" s="35"/>
      <c r="E235" s="28"/>
      <c r="F235" s="28"/>
    </row>
    <row r="236" spans="1:6" x14ac:dyDescent="0.2">
      <c r="A236" s="27"/>
      <c r="B236" s="27"/>
      <c r="C236" s="27"/>
      <c r="D236" s="35"/>
      <c r="E236" s="28"/>
      <c r="F236" s="28"/>
    </row>
    <row r="237" spans="1:6" x14ac:dyDescent="0.2">
      <c r="A237" s="27"/>
      <c r="B237" s="27"/>
      <c r="C237" s="27"/>
      <c r="D237" s="35"/>
      <c r="E237" s="28"/>
      <c r="F237" s="28"/>
    </row>
    <row r="238" spans="1:6" x14ac:dyDescent="0.2">
      <c r="A238" s="27"/>
      <c r="B238" s="27"/>
      <c r="C238" s="27"/>
      <c r="D238" s="35"/>
      <c r="E238" s="28"/>
      <c r="F238" s="28"/>
    </row>
    <row r="239" spans="1:6" x14ac:dyDescent="0.2">
      <c r="A239" s="27"/>
      <c r="B239" s="27"/>
      <c r="C239" s="27"/>
      <c r="D239" s="35"/>
      <c r="E239" s="28"/>
      <c r="F239" s="28"/>
    </row>
    <row r="240" spans="1:6" x14ac:dyDescent="0.2">
      <c r="A240" s="27"/>
      <c r="B240" s="27"/>
      <c r="C240" s="27"/>
      <c r="D240" s="35"/>
      <c r="E240" s="28"/>
      <c r="F240" s="28"/>
    </row>
    <row r="241" spans="1:6" x14ac:dyDescent="0.2">
      <c r="A241" s="27"/>
      <c r="B241" s="27"/>
      <c r="C241" s="27"/>
      <c r="D241" s="35"/>
      <c r="E241" s="28"/>
      <c r="F241" s="28"/>
    </row>
    <row r="242" spans="1:6" x14ac:dyDescent="0.2">
      <c r="A242" s="27"/>
      <c r="B242" s="27"/>
      <c r="C242" s="27"/>
      <c r="D242" s="35"/>
      <c r="E242" s="28"/>
      <c r="F242" s="28"/>
    </row>
    <row r="243" spans="1:6" x14ac:dyDescent="0.2">
      <c r="A243" s="27"/>
      <c r="B243" s="27"/>
      <c r="C243" s="27"/>
      <c r="D243" s="35"/>
      <c r="E243" s="28"/>
      <c r="F243" s="28"/>
    </row>
    <row r="244" spans="1:6" x14ac:dyDescent="0.2">
      <c r="A244" s="27"/>
      <c r="B244" s="27"/>
      <c r="C244" s="27"/>
      <c r="D244" s="35"/>
      <c r="E244" s="28"/>
      <c r="F244" s="28"/>
    </row>
    <row r="245" spans="1:6" x14ac:dyDescent="0.2">
      <c r="A245" s="27"/>
      <c r="B245" s="27"/>
      <c r="C245" s="27"/>
      <c r="D245" s="35"/>
      <c r="E245" s="28"/>
      <c r="F245" s="28"/>
    </row>
    <row r="246" spans="1:6" x14ac:dyDescent="0.2">
      <c r="A246" s="27"/>
      <c r="B246" s="27"/>
      <c r="C246" s="27"/>
      <c r="D246" s="35"/>
      <c r="E246" s="28"/>
      <c r="F246" s="28"/>
    </row>
    <row r="247" spans="1:6" x14ac:dyDescent="0.2">
      <c r="A247" s="27"/>
      <c r="B247" s="27"/>
      <c r="C247" s="27"/>
      <c r="D247" s="35"/>
      <c r="E247" s="28"/>
      <c r="F247" s="28"/>
    </row>
    <row r="248" spans="1:6" x14ac:dyDescent="0.2">
      <c r="A248" s="27"/>
      <c r="B248" s="27"/>
      <c r="C248" s="27"/>
      <c r="D248" s="35"/>
      <c r="E248" s="28"/>
      <c r="F248" s="28"/>
    </row>
    <row r="249" spans="1:6" x14ac:dyDescent="0.2">
      <c r="A249" s="27"/>
      <c r="B249" s="27"/>
      <c r="C249" s="27"/>
      <c r="D249" s="35"/>
      <c r="E249" s="28"/>
      <c r="F249" s="28"/>
    </row>
    <row r="250" spans="1:6" x14ac:dyDescent="0.2">
      <c r="A250" s="27"/>
      <c r="B250" s="27"/>
      <c r="C250" s="27"/>
      <c r="D250" s="35"/>
      <c r="E250" s="28"/>
      <c r="F250" s="28"/>
    </row>
    <row r="251" spans="1:6" x14ac:dyDescent="0.2">
      <c r="A251" s="27"/>
      <c r="B251" s="27"/>
      <c r="C251" s="27"/>
      <c r="D251" s="35"/>
      <c r="E251" s="28"/>
      <c r="F251" s="28"/>
    </row>
    <row r="252" spans="1:6" x14ac:dyDescent="0.2">
      <c r="A252" s="27"/>
      <c r="B252" s="27"/>
      <c r="C252" s="27"/>
      <c r="D252" s="35"/>
      <c r="E252" s="28"/>
      <c r="F252" s="28"/>
    </row>
    <row r="253" spans="1:6" x14ac:dyDescent="0.2">
      <c r="A253" s="27"/>
      <c r="B253" s="27"/>
      <c r="C253" s="27"/>
      <c r="D253" s="35"/>
      <c r="E253" s="28"/>
      <c r="F253" s="28"/>
    </row>
    <row r="254" spans="1:6" x14ac:dyDescent="0.2">
      <c r="A254" s="27"/>
      <c r="B254" s="27"/>
      <c r="C254" s="27"/>
      <c r="D254" s="35"/>
      <c r="E254" s="28"/>
      <c r="F254" s="28"/>
    </row>
    <row r="255" spans="1:6" x14ac:dyDescent="0.2">
      <c r="A255" s="27"/>
      <c r="B255" s="27"/>
      <c r="C255" s="27"/>
      <c r="D255" s="35"/>
      <c r="E255" s="28"/>
      <c r="F255" s="28"/>
    </row>
    <row r="256" spans="1:6" x14ac:dyDescent="0.2">
      <c r="A256" s="27"/>
      <c r="B256" s="27"/>
      <c r="C256" s="27"/>
      <c r="D256" s="35"/>
      <c r="E256" s="28"/>
      <c r="F256" s="28"/>
    </row>
    <row r="257" spans="1:6" x14ac:dyDescent="0.2">
      <c r="A257" s="27"/>
      <c r="B257" s="27"/>
      <c r="C257" s="27"/>
      <c r="D257" s="35"/>
      <c r="E257" s="28"/>
      <c r="F257" s="28"/>
    </row>
    <row r="258" spans="1:6" x14ac:dyDescent="0.2">
      <c r="A258" s="27"/>
      <c r="B258" s="27"/>
      <c r="C258" s="27"/>
      <c r="D258" s="35"/>
      <c r="E258" s="28"/>
      <c r="F258" s="28"/>
    </row>
    <row r="259" spans="1:6" x14ac:dyDescent="0.2">
      <c r="A259" s="27"/>
      <c r="B259" s="27"/>
      <c r="C259" s="27"/>
      <c r="D259" s="35"/>
      <c r="E259" s="28"/>
      <c r="F259" s="28"/>
    </row>
    <row r="260" spans="1:6" x14ac:dyDescent="0.2">
      <c r="A260" s="27"/>
      <c r="B260" s="27"/>
      <c r="C260" s="27"/>
      <c r="D260" s="35"/>
      <c r="E260" s="28"/>
      <c r="F260" s="28"/>
    </row>
    <row r="261" spans="1:6" x14ac:dyDescent="0.2">
      <c r="A261" s="27"/>
      <c r="B261" s="27"/>
      <c r="C261" s="27"/>
      <c r="D261" s="35"/>
      <c r="E261" s="28"/>
      <c r="F261" s="28"/>
    </row>
    <row r="262" spans="1:6" x14ac:dyDescent="0.2">
      <c r="A262" s="27"/>
      <c r="B262" s="27"/>
      <c r="C262" s="27"/>
      <c r="D262" s="35"/>
      <c r="E262" s="28"/>
      <c r="F262" s="28"/>
    </row>
    <row r="263" spans="1:6" x14ac:dyDescent="0.2">
      <c r="A263" s="27"/>
      <c r="B263" s="27"/>
      <c r="C263" s="27"/>
      <c r="D263" s="35"/>
      <c r="E263" s="28"/>
      <c r="F263" s="28"/>
    </row>
    <row r="264" spans="1:6" x14ac:dyDescent="0.2">
      <c r="A264" s="27"/>
      <c r="B264" s="27"/>
      <c r="C264" s="27"/>
      <c r="D264" s="35"/>
      <c r="E264" s="28"/>
      <c r="F264" s="28"/>
    </row>
    <row r="265" spans="1:6" x14ac:dyDescent="0.2">
      <c r="A265" s="27"/>
      <c r="B265" s="27"/>
      <c r="C265" s="27"/>
      <c r="D265" s="35"/>
      <c r="E265" s="28"/>
      <c r="F265" s="28"/>
    </row>
    <row r="266" spans="1:6" x14ac:dyDescent="0.2">
      <c r="A266" s="27"/>
      <c r="B266" s="27"/>
      <c r="C266" s="27"/>
      <c r="D266" s="35"/>
      <c r="E266" s="28"/>
      <c r="F266" s="28"/>
    </row>
    <row r="267" spans="1:6" x14ac:dyDescent="0.2">
      <c r="A267" s="27"/>
      <c r="B267" s="27"/>
      <c r="C267" s="27"/>
      <c r="D267" s="35"/>
      <c r="E267" s="28"/>
      <c r="F267" s="28"/>
    </row>
    <row r="268" spans="1:6" x14ac:dyDescent="0.2">
      <c r="A268" s="27"/>
      <c r="B268" s="27"/>
      <c r="C268" s="27"/>
      <c r="D268" s="35"/>
      <c r="E268" s="28"/>
      <c r="F268" s="28"/>
    </row>
    <row r="269" spans="1:6" x14ac:dyDescent="0.2">
      <c r="A269" s="27"/>
      <c r="B269" s="27"/>
      <c r="C269" s="27"/>
      <c r="D269" s="35"/>
      <c r="E269" s="28"/>
      <c r="F269" s="28"/>
    </row>
    <row r="270" spans="1:6" x14ac:dyDescent="0.2">
      <c r="A270" s="27"/>
      <c r="B270" s="27"/>
      <c r="C270" s="27"/>
      <c r="D270" s="35"/>
      <c r="E270" s="28"/>
      <c r="F270" s="28"/>
    </row>
    <row r="271" spans="1:6" x14ac:dyDescent="0.2">
      <c r="A271" s="27"/>
      <c r="B271" s="27"/>
      <c r="C271" s="27"/>
      <c r="D271" s="35"/>
      <c r="E271" s="28"/>
      <c r="F271" s="28"/>
    </row>
    <row r="272" spans="1:6" x14ac:dyDescent="0.2">
      <c r="A272" s="27"/>
      <c r="B272" s="27"/>
      <c r="C272" s="27"/>
      <c r="D272" s="35"/>
      <c r="E272" s="28"/>
      <c r="F272" s="28"/>
    </row>
    <row r="273" spans="1:6" x14ac:dyDescent="0.2">
      <c r="A273" s="27"/>
      <c r="B273" s="27"/>
      <c r="C273" s="27"/>
      <c r="D273" s="35"/>
      <c r="E273" s="28"/>
      <c r="F273" s="28"/>
    </row>
    <row r="274" spans="1:6" x14ac:dyDescent="0.2">
      <c r="A274" s="27"/>
      <c r="B274" s="27"/>
      <c r="C274" s="27"/>
      <c r="D274" s="35"/>
      <c r="E274" s="28"/>
      <c r="F274" s="28"/>
    </row>
    <row r="275" spans="1:6" x14ac:dyDescent="0.2">
      <c r="A275" s="27"/>
      <c r="B275" s="27"/>
      <c r="C275" s="27"/>
      <c r="D275" s="35"/>
      <c r="E275" s="28"/>
      <c r="F275" s="28"/>
    </row>
    <row r="276" spans="1:6" x14ac:dyDescent="0.2">
      <c r="A276" s="27"/>
      <c r="B276" s="27"/>
      <c r="C276" s="27"/>
      <c r="D276" s="35"/>
      <c r="E276" s="28"/>
      <c r="F276" s="28"/>
    </row>
    <row r="277" spans="1:6" x14ac:dyDescent="0.2">
      <c r="A277" s="27"/>
      <c r="B277" s="27"/>
      <c r="C277" s="27"/>
      <c r="D277" s="35"/>
      <c r="E277" s="28"/>
      <c r="F277" s="28"/>
    </row>
    <row r="278" spans="1:6" x14ac:dyDescent="0.2">
      <c r="A278" s="27"/>
      <c r="B278" s="27"/>
      <c r="C278" s="27"/>
      <c r="D278" s="35"/>
      <c r="E278" s="28"/>
      <c r="F278" s="28"/>
    </row>
    <row r="279" spans="1:6" x14ac:dyDescent="0.2">
      <c r="A279" s="27"/>
      <c r="B279" s="27"/>
      <c r="C279" s="27"/>
      <c r="D279" s="35"/>
      <c r="E279" s="28"/>
      <c r="F279" s="28"/>
    </row>
    <row r="280" spans="1:6" x14ac:dyDescent="0.2">
      <c r="A280" s="27"/>
      <c r="B280" s="27"/>
      <c r="C280" s="27"/>
      <c r="D280" s="35"/>
      <c r="E280" s="28"/>
      <c r="F280" s="28"/>
    </row>
    <row r="281" spans="1:6" x14ac:dyDescent="0.2">
      <c r="A281" s="27"/>
      <c r="B281" s="27"/>
      <c r="C281" s="27"/>
      <c r="D281" s="35"/>
      <c r="E281" s="28"/>
      <c r="F281" s="28"/>
    </row>
    <row r="282" spans="1:6" x14ac:dyDescent="0.2">
      <c r="A282" s="27"/>
      <c r="B282" s="27"/>
      <c r="C282" s="27"/>
      <c r="D282" s="35"/>
      <c r="E282" s="28"/>
      <c r="F282" s="28"/>
    </row>
    <row r="283" spans="1:6" x14ac:dyDescent="0.2">
      <c r="A283" s="27"/>
      <c r="B283" s="27"/>
      <c r="C283" s="27"/>
      <c r="D283" s="35"/>
      <c r="E283" s="28"/>
      <c r="F283" s="28"/>
    </row>
    <row r="284" spans="1:6" x14ac:dyDescent="0.2">
      <c r="A284" s="27"/>
      <c r="B284" s="27"/>
      <c r="C284" s="27"/>
      <c r="D284" s="35"/>
      <c r="E284" s="28"/>
      <c r="F284" s="28"/>
    </row>
    <row r="285" spans="1:6" x14ac:dyDescent="0.2">
      <c r="A285" s="27"/>
      <c r="B285" s="27"/>
      <c r="C285" s="27"/>
      <c r="D285" s="35"/>
      <c r="E285" s="28"/>
      <c r="F285" s="28"/>
    </row>
    <row r="286" spans="1:6" x14ac:dyDescent="0.2">
      <c r="A286" s="27"/>
      <c r="B286" s="27"/>
      <c r="C286" s="27"/>
      <c r="D286" s="35"/>
      <c r="E286" s="28"/>
      <c r="F286" s="28"/>
    </row>
    <row r="287" spans="1:6" x14ac:dyDescent="0.2">
      <c r="A287" s="27"/>
      <c r="B287" s="27"/>
      <c r="C287" s="27"/>
      <c r="D287" s="35"/>
      <c r="E287" s="28"/>
      <c r="F287" s="28"/>
    </row>
    <row r="288" spans="1:6" x14ac:dyDescent="0.2">
      <c r="A288" s="27"/>
      <c r="B288" s="27"/>
      <c r="C288" s="27"/>
      <c r="D288" s="35"/>
      <c r="E288" s="28"/>
      <c r="F288" s="28"/>
    </row>
    <row r="289" spans="1:6" x14ac:dyDescent="0.2">
      <c r="A289" s="27"/>
      <c r="B289" s="27"/>
      <c r="C289" s="27"/>
      <c r="D289" s="35"/>
      <c r="E289" s="28"/>
      <c r="F289" s="28"/>
    </row>
    <row r="290" spans="1:6" x14ac:dyDescent="0.2">
      <c r="A290" s="27"/>
      <c r="B290" s="27"/>
      <c r="C290" s="27"/>
      <c r="D290" s="35"/>
      <c r="E290" s="28"/>
      <c r="F290" s="28"/>
    </row>
    <row r="291" spans="1:6" x14ac:dyDescent="0.2">
      <c r="A291" s="27"/>
      <c r="B291" s="27"/>
      <c r="C291" s="27"/>
      <c r="D291" s="35"/>
      <c r="E291" s="28"/>
      <c r="F291" s="28"/>
    </row>
    <row r="292" spans="1:6" x14ac:dyDescent="0.2">
      <c r="A292" s="27"/>
      <c r="B292" s="27"/>
      <c r="C292" s="27"/>
      <c r="D292" s="35"/>
      <c r="E292" s="28"/>
      <c r="F292" s="28"/>
    </row>
    <row r="293" spans="1:6" x14ac:dyDescent="0.2">
      <c r="A293" s="27"/>
      <c r="B293" s="27"/>
      <c r="C293" s="27"/>
      <c r="D293" s="35"/>
      <c r="E293" s="28"/>
      <c r="F293" s="28"/>
    </row>
    <row r="294" spans="1:6" x14ac:dyDescent="0.2">
      <c r="A294" s="27"/>
      <c r="B294" s="27"/>
      <c r="C294" s="27"/>
      <c r="D294" s="35"/>
      <c r="E294" s="28"/>
      <c r="F294" s="28"/>
    </row>
    <row r="295" spans="1:6" x14ac:dyDescent="0.2">
      <c r="A295" s="27"/>
      <c r="B295" s="27"/>
      <c r="C295" s="27"/>
      <c r="D295" s="35"/>
      <c r="E295" s="28"/>
      <c r="F295" s="28"/>
    </row>
    <row r="296" spans="1:6" x14ac:dyDescent="0.2">
      <c r="A296" s="27"/>
      <c r="B296" s="27"/>
      <c r="C296" s="27"/>
      <c r="D296" s="35"/>
      <c r="E296" s="28"/>
      <c r="F296" s="28"/>
    </row>
    <row r="297" spans="1:6" x14ac:dyDescent="0.2">
      <c r="A297" s="27"/>
      <c r="B297" s="27"/>
      <c r="C297" s="27"/>
      <c r="D297" s="35"/>
      <c r="E297" s="28"/>
      <c r="F297" s="28"/>
    </row>
    <row r="298" spans="1:6" x14ac:dyDescent="0.2">
      <c r="A298" s="27"/>
      <c r="B298" s="27"/>
      <c r="C298" s="27"/>
      <c r="D298" s="35"/>
      <c r="E298" s="28"/>
      <c r="F298" s="28"/>
    </row>
    <row r="299" spans="1:6" x14ac:dyDescent="0.2">
      <c r="A299" s="27"/>
      <c r="B299" s="27"/>
      <c r="C299" s="27"/>
      <c r="D299" s="35"/>
      <c r="E299" s="28"/>
      <c r="F299" s="28"/>
    </row>
    <row r="300" spans="1:6" x14ac:dyDescent="0.2">
      <c r="A300" s="27"/>
      <c r="B300" s="27"/>
      <c r="C300" s="27"/>
      <c r="D300" s="35"/>
      <c r="E300" s="28"/>
      <c r="F300" s="28"/>
    </row>
    <row r="301" spans="1:6" x14ac:dyDescent="0.2">
      <c r="A301" s="27"/>
      <c r="B301" s="27"/>
      <c r="C301" s="27"/>
      <c r="D301" s="35"/>
      <c r="E301" s="28"/>
      <c r="F301" s="28"/>
    </row>
    <row r="302" spans="1:6" x14ac:dyDescent="0.2">
      <c r="A302" s="27"/>
      <c r="B302" s="27"/>
      <c r="C302" s="27"/>
      <c r="D302" s="35"/>
      <c r="E302" s="28"/>
      <c r="F302" s="28"/>
    </row>
    <row r="303" spans="1:6" x14ac:dyDescent="0.2">
      <c r="A303" s="27"/>
      <c r="B303" s="27"/>
      <c r="C303" s="27"/>
      <c r="D303" s="35"/>
      <c r="E303" s="28"/>
      <c r="F303" s="28"/>
    </row>
    <row r="304" spans="1:6" x14ac:dyDescent="0.2">
      <c r="A304" s="27"/>
      <c r="B304" s="27"/>
      <c r="C304" s="27"/>
      <c r="D304" s="35"/>
      <c r="E304" s="28"/>
      <c r="F304" s="28"/>
    </row>
    <row r="305" spans="1:6" x14ac:dyDescent="0.2">
      <c r="A305" s="27"/>
      <c r="B305" s="27"/>
      <c r="C305" s="27"/>
      <c r="D305" s="35"/>
      <c r="E305" s="28"/>
      <c r="F305" s="28"/>
    </row>
    <row r="306" spans="1:6" x14ac:dyDescent="0.2">
      <c r="A306" s="27"/>
      <c r="B306" s="27"/>
      <c r="C306" s="27"/>
      <c r="D306" s="35"/>
      <c r="E306" s="28"/>
      <c r="F306" s="28"/>
    </row>
    <row r="307" spans="1:6" x14ac:dyDescent="0.2">
      <c r="A307" s="27"/>
      <c r="B307" s="27"/>
      <c r="C307" s="27"/>
      <c r="D307" s="35"/>
      <c r="E307" s="28"/>
      <c r="F307" s="28"/>
    </row>
    <row r="308" spans="1:6" x14ac:dyDescent="0.2">
      <c r="A308" s="27"/>
      <c r="B308" s="27"/>
      <c r="C308" s="27"/>
      <c r="D308" s="35"/>
      <c r="E308" s="28"/>
      <c r="F308" s="28"/>
    </row>
    <row r="309" spans="1:6" x14ac:dyDescent="0.2">
      <c r="A309" s="27"/>
      <c r="B309" s="27"/>
      <c r="C309" s="27"/>
      <c r="D309" s="35"/>
      <c r="E309" s="28"/>
      <c r="F309" s="28"/>
    </row>
    <row r="310" spans="1:6" x14ac:dyDescent="0.2">
      <c r="A310" s="27"/>
      <c r="B310" s="27"/>
      <c r="C310" s="27"/>
      <c r="D310" s="35"/>
      <c r="E310" s="28"/>
      <c r="F310" s="28"/>
    </row>
    <row r="311" spans="1:6" x14ac:dyDescent="0.2">
      <c r="A311" s="27"/>
      <c r="B311" s="27"/>
      <c r="C311" s="27"/>
      <c r="D311" s="35"/>
      <c r="E311" s="28"/>
      <c r="F311" s="28"/>
    </row>
    <row r="312" spans="1:6" x14ac:dyDescent="0.2">
      <c r="A312" s="27"/>
      <c r="B312" s="27"/>
      <c r="C312" s="27"/>
      <c r="D312" s="35"/>
      <c r="E312" s="28"/>
      <c r="F312" s="28"/>
    </row>
    <row r="313" spans="1:6" x14ac:dyDescent="0.2">
      <c r="A313" s="27"/>
      <c r="B313" s="27"/>
      <c r="C313" s="27"/>
      <c r="D313" s="35"/>
      <c r="E313" s="28"/>
      <c r="F313" s="28"/>
    </row>
    <row r="314" spans="1:6" x14ac:dyDescent="0.2">
      <c r="A314" s="27"/>
      <c r="B314" s="27"/>
      <c r="C314" s="27"/>
      <c r="D314" s="35"/>
      <c r="E314" s="28"/>
      <c r="F314" s="28"/>
    </row>
    <row r="315" spans="1:6" x14ac:dyDescent="0.2">
      <c r="A315" s="27"/>
      <c r="B315" s="27"/>
      <c r="C315" s="27"/>
      <c r="D315" s="35"/>
      <c r="E315" s="28"/>
      <c r="F315" s="28"/>
    </row>
    <row r="316" spans="1:6" x14ac:dyDescent="0.2">
      <c r="A316" s="27"/>
      <c r="B316" s="27"/>
      <c r="C316" s="27"/>
      <c r="D316" s="35"/>
      <c r="E316" s="28"/>
      <c r="F316" s="28"/>
    </row>
    <row r="317" spans="1:6" x14ac:dyDescent="0.2">
      <c r="A317" s="27"/>
      <c r="B317" s="27"/>
      <c r="C317" s="27"/>
      <c r="D317" s="35"/>
      <c r="E317" s="28"/>
      <c r="F317" s="28"/>
    </row>
    <row r="318" spans="1:6" x14ac:dyDescent="0.2">
      <c r="A318" s="27"/>
      <c r="B318" s="27"/>
      <c r="C318" s="27"/>
      <c r="D318" s="35"/>
      <c r="E318" s="28"/>
      <c r="F318" s="28"/>
    </row>
    <row r="319" spans="1:6" x14ac:dyDescent="0.2">
      <c r="A319" s="27"/>
      <c r="B319" s="27"/>
      <c r="C319" s="27"/>
      <c r="D319" s="35"/>
      <c r="E319" s="28"/>
      <c r="F319" s="28"/>
    </row>
    <row r="320" spans="1:6" x14ac:dyDescent="0.2">
      <c r="A320" s="27"/>
      <c r="B320" s="27"/>
      <c r="C320" s="27"/>
      <c r="D320" s="35"/>
      <c r="E320" s="28"/>
      <c r="F320" s="28"/>
    </row>
    <row r="321" spans="1:6" x14ac:dyDescent="0.2">
      <c r="A321" s="27"/>
      <c r="B321" s="27"/>
      <c r="C321" s="27"/>
      <c r="D321" s="35"/>
      <c r="E321" s="28"/>
      <c r="F321" s="28"/>
    </row>
    <row r="322" spans="1:6" x14ac:dyDescent="0.2">
      <c r="A322" s="27"/>
      <c r="B322" s="27"/>
      <c r="C322" s="27"/>
      <c r="D322" s="35"/>
      <c r="E322" s="28"/>
      <c r="F322" s="28"/>
    </row>
    <row r="323" spans="1:6" x14ac:dyDescent="0.2">
      <c r="A323" s="27"/>
      <c r="B323" s="27"/>
      <c r="C323" s="27"/>
      <c r="D323" s="35"/>
      <c r="E323" s="28"/>
      <c r="F323" s="28"/>
    </row>
    <row r="324" spans="1:6" x14ac:dyDescent="0.2">
      <c r="A324" s="27"/>
      <c r="B324" s="27"/>
      <c r="C324" s="27"/>
      <c r="D324" s="35"/>
      <c r="E324" s="28"/>
      <c r="F324" s="28"/>
    </row>
    <row r="325" spans="1:6" x14ac:dyDescent="0.2">
      <c r="A325" s="27"/>
      <c r="B325" s="27"/>
      <c r="C325" s="27"/>
      <c r="D325" s="35"/>
      <c r="E325" s="28"/>
      <c r="F325" s="28"/>
    </row>
    <row r="326" spans="1:6" x14ac:dyDescent="0.2">
      <c r="A326" s="27"/>
      <c r="B326" s="27"/>
      <c r="C326" s="27"/>
      <c r="D326" s="35"/>
      <c r="E326" s="28"/>
      <c r="F326" s="28"/>
    </row>
    <row r="327" spans="1:6" x14ac:dyDescent="0.2">
      <c r="A327" s="27"/>
      <c r="B327" s="27"/>
      <c r="C327" s="27"/>
      <c r="D327" s="35"/>
      <c r="E327" s="28"/>
      <c r="F327" s="28"/>
    </row>
    <row r="328" spans="1:6" x14ac:dyDescent="0.2">
      <c r="A328" s="27"/>
      <c r="B328" s="27"/>
      <c r="C328" s="27"/>
      <c r="D328" s="35"/>
      <c r="E328" s="28"/>
      <c r="F328" s="28"/>
    </row>
    <row r="329" spans="1:6" x14ac:dyDescent="0.2">
      <c r="A329" s="27"/>
      <c r="B329" s="27"/>
      <c r="C329" s="27"/>
      <c r="D329" s="35"/>
      <c r="E329" s="28"/>
      <c r="F329" s="28"/>
    </row>
    <row r="330" spans="1:6" x14ac:dyDescent="0.2">
      <c r="A330" s="27"/>
      <c r="B330" s="27"/>
      <c r="C330" s="27"/>
      <c r="D330" s="35"/>
      <c r="E330" s="28"/>
      <c r="F330" s="28"/>
    </row>
    <row r="331" spans="1:6" x14ac:dyDescent="0.2">
      <c r="A331" s="27"/>
      <c r="B331" s="27"/>
      <c r="C331" s="27"/>
      <c r="D331" s="35"/>
      <c r="E331" s="28"/>
      <c r="F331" s="28"/>
    </row>
    <row r="332" spans="1:6" x14ac:dyDescent="0.2">
      <c r="A332" s="27"/>
      <c r="B332" s="27"/>
      <c r="C332" s="27"/>
      <c r="D332" s="35"/>
      <c r="E332" s="28"/>
      <c r="F332" s="28"/>
    </row>
    <row r="333" spans="1:6" x14ac:dyDescent="0.2">
      <c r="A333" s="27"/>
      <c r="B333" s="27"/>
      <c r="C333" s="27"/>
      <c r="D333" s="35"/>
      <c r="E333" s="28"/>
      <c r="F333" s="28"/>
    </row>
    <row r="334" spans="1:6" x14ac:dyDescent="0.2">
      <c r="A334" s="27"/>
      <c r="B334" s="27"/>
      <c r="C334" s="27"/>
      <c r="D334" s="35"/>
      <c r="E334" s="28"/>
      <c r="F334" s="28"/>
    </row>
    <row r="335" spans="1:6" x14ac:dyDescent="0.2">
      <c r="A335" s="27"/>
      <c r="B335" s="27"/>
      <c r="C335" s="27"/>
      <c r="D335" s="35"/>
      <c r="E335" s="28"/>
      <c r="F335" s="28"/>
    </row>
    <row r="336" spans="1:6" x14ac:dyDescent="0.2">
      <c r="A336" s="27"/>
      <c r="B336" s="27"/>
      <c r="C336" s="27"/>
      <c r="D336" s="35"/>
      <c r="E336" s="28"/>
      <c r="F336" s="28"/>
    </row>
    <row r="337" spans="1:6" x14ac:dyDescent="0.2">
      <c r="A337" s="27"/>
      <c r="B337" s="27"/>
      <c r="C337" s="27"/>
      <c r="D337" s="35"/>
      <c r="E337" s="28"/>
      <c r="F337" s="28"/>
    </row>
    <row r="338" spans="1:6" x14ac:dyDescent="0.2">
      <c r="A338" s="27"/>
      <c r="B338" s="27"/>
      <c r="C338" s="27"/>
      <c r="D338" s="35"/>
      <c r="E338" s="28"/>
      <c r="F338" s="28"/>
    </row>
    <row r="339" spans="1:6" x14ac:dyDescent="0.2">
      <c r="A339" s="27"/>
      <c r="B339" s="27"/>
      <c r="C339" s="27"/>
      <c r="D339" s="35"/>
      <c r="E339" s="28"/>
      <c r="F339" s="28"/>
    </row>
    <row r="340" spans="1:6" x14ac:dyDescent="0.2">
      <c r="A340" s="27"/>
      <c r="B340" s="27"/>
      <c r="C340" s="27"/>
      <c r="D340" s="35"/>
      <c r="E340" s="28"/>
      <c r="F340" s="28"/>
    </row>
    <row r="341" spans="1:6" x14ac:dyDescent="0.2">
      <c r="A341" s="27"/>
      <c r="B341" s="27"/>
      <c r="C341" s="27"/>
      <c r="D341" s="35"/>
      <c r="E341" s="28"/>
      <c r="F341" s="28"/>
    </row>
    <row r="342" spans="1:6" x14ac:dyDescent="0.2">
      <c r="A342" s="27"/>
      <c r="B342" s="27"/>
      <c r="C342" s="27"/>
      <c r="D342" s="35"/>
      <c r="E342" s="28"/>
      <c r="F342" s="28"/>
    </row>
    <row r="343" spans="1:6" x14ac:dyDescent="0.2">
      <c r="A343" s="27"/>
      <c r="B343" s="27"/>
      <c r="C343" s="27"/>
      <c r="D343" s="35"/>
      <c r="E343" s="28"/>
      <c r="F343" s="28"/>
    </row>
    <row r="344" spans="1:6" x14ac:dyDescent="0.2">
      <c r="A344" s="27"/>
      <c r="B344" s="27"/>
      <c r="C344" s="27"/>
      <c r="D344" s="35"/>
      <c r="E344" s="28"/>
      <c r="F344" s="28"/>
    </row>
    <row r="345" spans="1:6" x14ac:dyDescent="0.2">
      <c r="A345" s="27"/>
      <c r="B345" s="27"/>
      <c r="C345" s="27"/>
      <c r="D345" s="35"/>
      <c r="E345" s="28"/>
      <c r="F345" s="28"/>
    </row>
    <row r="346" spans="1:6" x14ac:dyDescent="0.2">
      <c r="A346" s="27"/>
      <c r="B346" s="27"/>
      <c r="C346" s="27"/>
      <c r="D346" s="35"/>
      <c r="E346" s="28"/>
      <c r="F346" s="28"/>
    </row>
    <row r="347" spans="1:6" x14ac:dyDescent="0.2">
      <c r="A347" s="27"/>
      <c r="B347" s="27"/>
      <c r="C347" s="27"/>
      <c r="D347" s="35"/>
      <c r="E347" s="28"/>
      <c r="F347" s="28"/>
    </row>
    <row r="348" spans="1:6" x14ac:dyDescent="0.2">
      <c r="A348" s="27"/>
      <c r="B348" s="27"/>
      <c r="C348" s="27"/>
      <c r="D348" s="35"/>
      <c r="E348" s="28"/>
      <c r="F348" s="28"/>
    </row>
    <row r="349" spans="1:6" x14ac:dyDescent="0.2">
      <c r="A349" s="27"/>
      <c r="B349" s="27"/>
      <c r="C349" s="27"/>
      <c r="D349" s="35"/>
      <c r="E349" s="28"/>
      <c r="F349" s="28"/>
    </row>
    <row r="350" spans="1:6" x14ac:dyDescent="0.2">
      <c r="A350" s="27"/>
      <c r="B350" s="27"/>
      <c r="C350" s="27"/>
      <c r="D350" s="35"/>
      <c r="E350" s="28"/>
      <c r="F350" s="28"/>
    </row>
    <row r="351" spans="1:6" x14ac:dyDescent="0.2">
      <c r="A351" s="27"/>
      <c r="B351" s="27"/>
      <c r="C351" s="27"/>
      <c r="D351" s="35"/>
      <c r="E351" s="28"/>
      <c r="F351" s="28"/>
    </row>
    <row r="352" spans="1:6" x14ac:dyDescent="0.2">
      <c r="A352" s="27"/>
      <c r="B352" s="27"/>
      <c r="C352" s="27"/>
      <c r="D352" s="35"/>
      <c r="E352" s="28"/>
      <c r="F352" s="28"/>
    </row>
    <row r="353" spans="1:6" x14ac:dyDescent="0.2">
      <c r="A353" s="27"/>
      <c r="B353" s="27"/>
      <c r="C353" s="27"/>
      <c r="D353" s="35"/>
      <c r="E353" s="28"/>
      <c r="F353" s="28"/>
    </row>
    <row r="354" spans="1:6" x14ac:dyDescent="0.2">
      <c r="A354" s="27"/>
      <c r="B354" s="27"/>
      <c r="C354" s="27"/>
      <c r="D354" s="35"/>
      <c r="E354" s="28"/>
      <c r="F354" s="28"/>
    </row>
    <row r="355" spans="1:6" x14ac:dyDescent="0.2">
      <c r="A355" s="27"/>
      <c r="B355" s="27"/>
      <c r="C355" s="27"/>
      <c r="D355" s="35"/>
      <c r="E355" s="28"/>
      <c r="F355" s="28"/>
    </row>
    <row r="356" spans="1:6" x14ac:dyDescent="0.2">
      <c r="A356" s="27"/>
      <c r="B356" s="27"/>
      <c r="C356" s="27"/>
      <c r="D356" s="35"/>
      <c r="E356" s="28"/>
      <c r="F356" s="28"/>
    </row>
    <row r="357" spans="1:6" x14ac:dyDescent="0.2">
      <c r="A357" s="27"/>
      <c r="B357" s="27"/>
      <c r="C357" s="27"/>
      <c r="D357" s="35"/>
      <c r="E357" s="28"/>
      <c r="F357" s="28"/>
    </row>
    <row r="358" spans="1:6" x14ac:dyDescent="0.2">
      <c r="A358" s="27"/>
      <c r="B358" s="27"/>
      <c r="C358" s="27"/>
      <c r="D358" s="35"/>
      <c r="E358" s="28"/>
      <c r="F358" s="28"/>
    </row>
    <row r="359" spans="1:6" x14ac:dyDescent="0.2">
      <c r="A359" s="27"/>
      <c r="B359" s="27"/>
      <c r="C359" s="27"/>
      <c r="D359" s="35"/>
      <c r="E359" s="28"/>
      <c r="F359" s="28"/>
    </row>
    <row r="360" spans="1:6" x14ac:dyDescent="0.2">
      <c r="A360" s="27"/>
      <c r="B360" s="27"/>
      <c r="C360" s="27"/>
      <c r="D360" s="35"/>
      <c r="E360" s="28"/>
      <c r="F360" s="28"/>
    </row>
    <row r="361" spans="1:6" x14ac:dyDescent="0.2">
      <c r="A361" s="27"/>
      <c r="B361" s="27"/>
      <c r="C361" s="27"/>
      <c r="D361" s="35"/>
      <c r="E361" s="28"/>
      <c r="F361" s="28"/>
    </row>
    <row r="362" spans="1:6" x14ac:dyDescent="0.2">
      <c r="A362" s="27"/>
      <c r="B362" s="27"/>
      <c r="C362" s="27"/>
      <c r="D362" s="35"/>
      <c r="E362" s="28"/>
      <c r="F362" s="28"/>
    </row>
    <row r="363" spans="1:6" x14ac:dyDescent="0.2">
      <c r="A363" s="27"/>
      <c r="B363" s="27"/>
      <c r="C363" s="27"/>
      <c r="D363" s="35"/>
      <c r="E363" s="28"/>
      <c r="F363" s="28"/>
    </row>
    <row r="364" spans="1:6" x14ac:dyDescent="0.2">
      <c r="A364" s="27"/>
      <c r="B364" s="27"/>
      <c r="C364" s="27"/>
      <c r="D364" s="35"/>
      <c r="E364" s="28"/>
      <c r="F364" s="28"/>
    </row>
    <row r="365" spans="1:6" x14ac:dyDescent="0.2">
      <c r="A365" s="27"/>
      <c r="B365" s="27"/>
      <c r="C365" s="27"/>
      <c r="D365" s="35"/>
      <c r="E365" s="28"/>
      <c r="F365" s="28"/>
    </row>
    <row r="366" spans="1:6" x14ac:dyDescent="0.2">
      <c r="A366" s="27"/>
      <c r="B366" s="27"/>
      <c r="C366" s="27"/>
      <c r="D366" s="35"/>
      <c r="E366" s="28"/>
      <c r="F366" s="28"/>
    </row>
    <row r="367" spans="1:6" x14ac:dyDescent="0.2">
      <c r="A367" s="27"/>
      <c r="B367" s="27"/>
      <c r="C367" s="27"/>
      <c r="D367" s="35"/>
      <c r="E367" s="28"/>
      <c r="F367" s="28"/>
    </row>
    <row r="368" spans="1:6" x14ac:dyDescent="0.2">
      <c r="A368" s="27"/>
      <c r="B368" s="27"/>
      <c r="C368" s="27"/>
      <c r="D368" s="35"/>
      <c r="E368" s="28"/>
      <c r="F368" s="28"/>
    </row>
    <row r="369" spans="1:6" x14ac:dyDescent="0.2">
      <c r="A369" s="27"/>
      <c r="B369" s="27"/>
      <c r="C369" s="27"/>
      <c r="D369" s="35"/>
      <c r="E369" s="28"/>
      <c r="F369" s="28"/>
    </row>
    <row r="370" spans="1:6" x14ac:dyDescent="0.2">
      <c r="A370" s="27"/>
      <c r="B370" s="27"/>
      <c r="C370" s="27"/>
      <c r="D370" s="35"/>
      <c r="E370" s="28"/>
      <c r="F370" s="28"/>
    </row>
    <row r="371" spans="1:6" x14ac:dyDescent="0.2">
      <c r="A371" s="27"/>
      <c r="B371" s="27"/>
      <c r="C371" s="27"/>
      <c r="D371" s="35"/>
      <c r="E371" s="28"/>
      <c r="F371" s="28"/>
    </row>
    <row r="372" spans="1:6" x14ac:dyDescent="0.2">
      <c r="A372" s="27"/>
      <c r="B372" s="27"/>
      <c r="C372" s="27"/>
      <c r="D372" s="35"/>
      <c r="E372" s="28"/>
      <c r="F372" s="28"/>
    </row>
    <row r="373" spans="1:6" x14ac:dyDescent="0.2">
      <c r="A373" s="27"/>
      <c r="B373" s="27"/>
      <c r="C373" s="27"/>
      <c r="D373" s="35"/>
      <c r="E373" s="28"/>
      <c r="F373" s="28"/>
    </row>
    <row r="374" spans="1:6" x14ac:dyDescent="0.2">
      <c r="A374" s="27"/>
      <c r="B374" s="27"/>
      <c r="C374" s="27"/>
      <c r="D374" s="35"/>
      <c r="E374" s="28"/>
      <c r="F374" s="28"/>
    </row>
    <row r="375" spans="1:6" x14ac:dyDescent="0.2">
      <c r="A375" s="27"/>
      <c r="B375" s="27"/>
      <c r="C375" s="27"/>
      <c r="D375" s="35"/>
      <c r="E375" s="28"/>
      <c r="F375" s="28"/>
    </row>
    <row r="376" spans="1:6" x14ac:dyDescent="0.2">
      <c r="A376" s="27"/>
      <c r="B376" s="27"/>
      <c r="C376" s="27"/>
      <c r="D376" s="35"/>
      <c r="E376" s="28"/>
      <c r="F376" s="28"/>
    </row>
    <row r="377" spans="1:6" x14ac:dyDescent="0.2">
      <c r="A377" s="27"/>
      <c r="B377" s="27"/>
      <c r="C377" s="27"/>
      <c r="D377" s="35"/>
      <c r="E377" s="28"/>
      <c r="F377" s="28"/>
    </row>
    <row r="378" spans="1:6" x14ac:dyDescent="0.2">
      <c r="A378" s="27"/>
      <c r="B378" s="27"/>
      <c r="C378" s="27"/>
      <c r="D378" s="35"/>
      <c r="E378" s="28"/>
      <c r="F378" s="28"/>
    </row>
    <row r="379" spans="1:6" x14ac:dyDescent="0.2">
      <c r="A379" s="27"/>
      <c r="B379" s="27"/>
      <c r="C379" s="27"/>
      <c r="D379" s="35"/>
      <c r="E379" s="28"/>
      <c r="F379" s="28"/>
    </row>
    <row r="380" spans="1:6" x14ac:dyDescent="0.2">
      <c r="A380" s="27"/>
      <c r="B380" s="27"/>
      <c r="C380" s="27"/>
      <c r="D380" s="35"/>
      <c r="E380" s="28"/>
      <c r="F380" s="28"/>
    </row>
    <row r="381" spans="1:6" x14ac:dyDescent="0.2">
      <c r="A381" s="27"/>
      <c r="B381" s="27"/>
      <c r="C381" s="27"/>
      <c r="D381" s="35"/>
      <c r="E381" s="28"/>
      <c r="F381" s="28"/>
    </row>
    <row r="382" spans="1:6" x14ac:dyDescent="0.2">
      <c r="A382" s="27"/>
      <c r="B382" s="27"/>
      <c r="C382" s="27"/>
      <c r="D382" s="35"/>
      <c r="E382" s="28"/>
      <c r="F382" s="28"/>
    </row>
    <row r="383" spans="1:6" x14ac:dyDescent="0.2">
      <c r="A383" s="27"/>
      <c r="B383" s="27"/>
      <c r="C383" s="27"/>
      <c r="D383" s="35"/>
      <c r="E383" s="28"/>
      <c r="F383" s="28"/>
    </row>
    <row r="384" spans="1:6" x14ac:dyDescent="0.2">
      <c r="A384" s="27"/>
      <c r="B384" s="27"/>
      <c r="C384" s="27"/>
      <c r="D384" s="35"/>
      <c r="E384" s="28"/>
      <c r="F384" s="28"/>
    </row>
    <row r="385" spans="1:6" x14ac:dyDescent="0.2">
      <c r="A385" s="27"/>
      <c r="B385" s="27"/>
      <c r="C385" s="27"/>
      <c r="D385" s="35"/>
      <c r="E385" s="28"/>
      <c r="F385" s="28"/>
    </row>
    <row r="386" spans="1:6" x14ac:dyDescent="0.2">
      <c r="A386" s="27"/>
      <c r="B386" s="27"/>
      <c r="C386" s="27"/>
      <c r="D386" s="35"/>
      <c r="E386" s="28"/>
      <c r="F386" s="28"/>
    </row>
    <row r="387" spans="1:6" x14ac:dyDescent="0.2">
      <c r="A387" s="27"/>
      <c r="B387" s="27"/>
      <c r="C387" s="27"/>
      <c r="D387" s="35"/>
      <c r="E387" s="28"/>
      <c r="F387" s="28"/>
    </row>
    <row r="388" spans="1:6" x14ac:dyDescent="0.2">
      <c r="A388" s="27"/>
      <c r="B388" s="27"/>
      <c r="C388" s="27"/>
      <c r="D388" s="35"/>
      <c r="E388" s="28"/>
      <c r="F388" s="28"/>
    </row>
    <row r="389" spans="1:6" x14ac:dyDescent="0.2">
      <c r="A389" s="27"/>
      <c r="B389" s="27"/>
      <c r="C389" s="27"/>
      <c r="D389" s="35"/>
      <c r="E389" s="28"/>
      <c r="F389" s="28"/>
    </row>
    <row r="390" spans="1:6" x14ac:dyDescent="0.2">
      <c r="A390" s="27"/>
      <c r="B390" s="27"/>
      <c r="C390" s="27"/>
      <c r="D390" s="35"/>
      <c r="E390" s="28"/>
      <c r="F390" s="28"/>
    </row>
    <row r="391" spans="1:6" x14ac:dyDescent="0.2">
      <c r="A391" s="27"/>
      <c r="B391" s="27"/>
      <c r="C391" s="27"/>
      <c r="D391" s="35"/>
      <c r="E391" s="28"/>
      <c r="F391" s="28"/>
    </row>
    <row r="392" spans="1:6" x14ac:dyDescent="0.2">
      <c r="A392" s="27"/>
      <c r="B392" s="27"/>
      <c r="C392" s="27"/>
      <c r="D392" s="35"/>
      <c r="E392" s="28"/>
      <c r="F392" s="28"/>
    </row>
    <row r="393" spans="1:6" x14ac:dyDescent="0.2">
      <c r="A393" s="27"/>
      <c r="B393" s="27"/>
      <c r="C393" s="27"/>
      <c r="D393" s="35"/>
      <c r="E393" s="28"/>
      <c r="F393" s="28"/>
    </row>
    <row r="394" spans="1:6" x14ac:dyDescent="0.2">
      <c r="A394" s="27"/>
      <c r="B394" s="27"/>
      <c r="C394" s="27"/>
      <c r="D394" s="35"/>
      <c r="E394" s="28"/>
      <c r="F394" s="28"/>
    </row>
    <row r="395" spans="1:6" x14ac:dyDescent="0.2">
      <c r="A395" s="27"/>
      <c r="B395" s="27"/>
      <c r="C395" s="27"/>
      <c r="D395" s="35"/>
      <c r="E395" s="28"/>
      <c r="F395" s="28"/>
    </row>
    <row r="396" spans="1:6" x14ac:dyDescent="0.2">
      <c r="A396" s="27"/>
      <c r="B396" s="27"/>
      <c r="C396" s="27"/>
      <c r="D396" s="35"/>
      <c r="E396" s="28"/>
      <c r="F396" s="28"/>
    </row>
    <row r="397" spans="1:6" x14ac:dyDescent="0.2">
      <c r="A397" s="27"/>
      <c r="B397" s="27"/>
      <c r="C397" s="27"/>
      <c r="D397" s="35"/>
      <c r="E397" s="28"/>
      <c r="F397" s="28"/>
    </row>
    <row r="398" spans="1:6" x14ac:dyDescent="0.2">
      <c r="A398" s="27"/>
      <c r="B398" s="27"/>
      <c r="C398" s="27"/>
      <c r="D398" s="35"/>
      <c r="E398" s="28"/>
      <c r="F398" s="28"/>
    </row>
    <row r="399" spans="1:6" x14ac:dyDescent="0.2">
      <c r="A399" s="27"/>
      <c r="B399" s="27"/>
      <c r="C399" s="27"/>
      <c r="D399" s="35"/>
      <c r="E399" s="28"/>
      <c r="F399" s="28"/>
    </row>
    <row r="400" spans="1:6" x14ac:dyDescent="0.2">
      <c r="A400" s="27"/>
      <c r="B400" s="27"/>
      <c r="C400" s="27"/>
      <c r="D400" s="35"/>
      <c r="E400" s="28"/>
      <c r="F400" s="28"/>
    </row>
    <row r="401" spans="1:6" x14ac:dyDescent="0.2">
      <c r="A401" s="27"/>
      <c r="B401" s="27"/>
      <c r="C401" s="27"/>
      <c r="D401" s="35"/>
      <c r="E401" s="28"/>
      <c r="F401" s="28"/>
    </row>
    <row r="402" spans="1:6" x14ac:dyDescent="0.2">
      <c r="A402" s="27"/>
      <c r="B402" s="27"/>
      <c r="C402" s="27"/>
      <c r="D402" s="35"/>
      <c r="E402" s="28"/>
      <c r="F402" s="28"/>
    </row>
    <row r="403" spans="1:6" x14ac:dyDescent="0.2">
      <c r="A403" s="27"/>
      <c r="B403" s="27"/>
      <c r="C403" s="27"/>
      <c r="D403" s="35"/>
      <c r="E403" s="28"/>
      <c r="F403" s="28"/>
    </row>
    <row r="404" spans="1:6" x14ac:dyDescent="0.2">
      <c r="A404" s="27"/>
      <c r="B404" s="27"/>
      <c r="C404" s="27"/>
      <c r="D404" s="35"/>
      <c r="E404" s="28"/>
      <c r="F404" s="28"/>
    </row>
    <row r="405" spans="1:6" x14ac:dyDescent="0.2">
      <c r="A405" s="27"/>
      <c r="B405" s="27"/>
      <c r="C405" s="27"/>
      <c r="D405" s="35"/>
      <c r="E405" s="28"/>
      <c r="F405" s="28"/>
    </row>
    <row r="406" spans="1:6" x14ac:dyDescent="0.2">
      <c r="A406" s="27"/>
      <c r="B406" s="27"/>
      <c r="C406" s="27"/>
      <c r="D406" s="35"/>
      <c r="E406" s="28"/>
      <c r="F406" s="28"/>
    </row>
    <row r="407" spans="1:6" x14ac:dyDescent="0.2">
      <c r="A407" s="27"/>
      <c r="B407" s="27"/>
      <c r="C407" s="27"/>
      <c r="D407" s="35"/>
      <c r="E407" s="28"/>
      <c r="F407" s="28"/>
    </row>
    <row r="408" spans="1:6" x14ac:dyDescent="0.2">
      <c r="A408" s="27"/>
      <c r="B408" s="27"/>
      <c r="C408" s="27"/>
      <c r="D408" s="35"/>
      <c r="E408" s="28"/>
      <c r="F408" s="28"/>
    </row>
    <row r="409" spans="1:6" x14ac:dyDescent="0.2">
      <c r="A409" s="27"/>
      <c r="B409" s="27"/>
      <c r="C409" s="27"/>
      <c r="D409" s="35"/>
      <c r="E409" s="28"/>
      <c r="F409" s="28"/>
    </row>
    <row r="410" spans="1:6" x14ac:dyDescent="0.2">
      <c r="A410" s="27"/>
      <c r="B410" s="27"/>
      <c r="C410" s="27"/>
      <c r="D410" s="35"/>
      <c r="E410" s="28"/>
      <c r="F410" s="28"/>
    </row>
    <row r="411" spans="1:6" x14ac:dyDescent="0.2">
      <c r="A411" s="27"/>
      <c r="B411" s="27"/>
      <c r="C411" s="27"/>
      <c r="D411" s="35"/>
      <c r="E411" s="28"/>
      <c r="F411" s="28"/>
    </row>
    <row r="412" spans="1:6" x14ac:dyDescent="0.2">
      <c r="A412" s="27"/>
      <c r="B412" s="27"/>
      <c r="C412" s="27"/>
      <c r="D412" s="35"/>
      <c r="E412" s="28"/>
      <c r="F412" s="28"/>
    </row>
    <row r="413" spans="1:6" x14ac:dyDescent="0.2">
      <c r="A413" s="27"/>
      <c r="B413" s="27"/>
      <c r="C413" s="27"/>
      <c r="D413" s="35"/>
      <c r="E413" s="28"/>
      <c r="F413" s="28"/>
    </row>
    <row r="414" spans="1:6" x14ac:dyDescent="0.2">
      <c r="A414" s="27"/>
      <c r="B414" s="27"/>
      <c r="C414" s="27"/>
      <c r="D414" s="35"/>
      <c r="E414" s="28"/>
      <c r="F414" s="28"/>
    </row>
    <row r="415" spans="1:6" x14ac:dyDescent="0.2">
      <c r="A415" s="27"/>
      <c r="B415" s="27"/>
      <c r="C415" s="27"/>
      <c r="D415" s="35"/>
      <c r="E415" s="28"/>
      <c r="F415" s="28"/>
    </row>
    <row r="416" spans="1:6" x14ac:dyDescent="0.2">
      <c r="A416" s="27"/>
      <c r="B416" s="27"/>
      <c r="C416" s="27"/>
      <c r="D416" s="35"/>
      <c r="E416" s="28"/>
      <c r="F416" s="28"/>
    </row>
    <row r="417" spans="1:6" x14ac:dyDescent="0.2">
      <c r="A417" s="27"/>
      <c r="B417" s="27"/>
      <c r="C417" s="27"/>
      <c r="D417" s="35"/>
      <c r="E417" s="28"/>
      <c r="F417" s="28"/>
    </row>
    <row r="418" spans="1:6" x14ac:dyDescent="0.2">
      <c r="A418" s="27"/>
      <c r="B418" s="27"/>
      <c r="C418" s="27"/>
      <c r="D418" s="35"/>
      <c r="E418" s="28"/>
      <c r="F418" s="28"/>
    </row>
    <row r="419" spans="1:6" x14ac:dyDescent="0.2">
      <c r="A419" s="27"/>
      <c r="B419" s="27"/>
      <c r="C419" s="27"/>
      <c r="D419" s="35"/>
      <c r="E419" s="28"/>
      <c r="F419" s="28"/>
    </row>
    <row r="420" spans="1:6" x14ac:dyDescent="0.2">
      <c r="A420" s="27"/>
      <c r="B420" s="27"/>
      <c r="C420" s="27"/>
      <c r="D420" s="35"/>
      <c r="E420" s="28"/>
      <c r="F420" s="28"/>
    </row>
    <row r="421" spans="1:6" x14ac:dyDescent="0.2">
      <c r="A421" s="27"/>
      <c r="B421" s="27"/>
      <c r="C421" s="27"/>
      <c r="D421" s="35"/>
      <c r="E421" s="28"/>
      <c r="F421" s="28"/>
    </row>
    <row r="422" spans="1:6" x14ac:dyDescent="0.2">
      <c r="A422" s="27"/>
      <c r="B422" s="27"/>
      <c r="C422" s="27"/>
      <c r="D422" s="35"/>
      <c r="E422" s="28"/>
      <c r="F422" s="28"/>
    </row>
    <row r="423" spans="1:6" x14ac:dyDescent="0.2">
      <c r="A423" s="27"/>
      <c r="B423" s="27"/>
      <c r="C423" s="27"/>
      <c r="D423" s="35"/>
      <c r="E423" s="28"/>
      <c r="F423" s="28"/>
    </row>
    <row r="424" spans="1:6" x14ac:dyDescent="0.2">
      <c r="A424" s="27"/>
      <c r="B424" s="27"/>
      <c r="C424" s="27"/>
      <c r="D424" s="35"/>
      <c r="E424" s="28"/>
      <c r="F424" s="28"/>
    </row>
    <row r="425" spans="1:6" x14ac:dyDescent="0.2">
      <c r="A425" s="27"/>
      <c r="B425" s="27"/>
      <c r="C425" s="27"/>
      <c r="D425" s="35"/>
      <c r="E425" s="28"/>
      <c r="F425" s="28"/>
    </row>
    <row r="426" spans="1:6" x14ac:dyDescent="0.2">
      <c r="A426" s="27"/>
      <c r="B426" s="27"/>
      <c r="C426" s="27"/>
      <c r="D426" s="35"/>
      <c r="E426" s="28"/>
      <c r="F426" s="28"/>
    </row>
    <row r="427" spans="1:6" x14ac:dyDescent="0.2">
      <c r="A427" s="27"/>
      <c r="B427" s="27"/>
      <c r="C427" s="27"/>
      <c r="D427" s="35"/>
      <c r="E427" s="28"/>
      <c r="F427" s="28"/>
    </row>
    <row r="428" spans="1:6" x14ac:dyDescent="0.2">
      <c r="A428" s="27"/>
      <c r="B428" s="27"/>
      <c r="C428" s="27"/>
      <c r="D428" s="35"/>
      <c r="E428" s="28"/>
      <c r="F428" s="28"/>
    </row>
    <row r="429" spans="1:6" x14ac:dyDescent="0.2">
      <c r="A429" s="27"/>
      <c r="B429" s="27"/>
      <c r="C429" s="27"/>
      <c r="D429" s="35"/>
      <c r="E429" s="28"/>
      <c r="F429" s="28"/>
    </row>
    <row r="430" spans="1:6" x14ac:dyDescent="0.2">
      <c r="A430" s="27"/>
      <c r="B430" s="27"/>
      <c r="C430" s="27"/>
      <c r="D430" s="35"/>
      <c r="E430" s="28"/>
      <c r="F430" s="28"/>
    </row>
    <row r="431" spans="1:6" x14ac:dyDescent="0.2">
      <c r="A431" s="27"/>
      <c r="B431" s="27"/>
      <c r="C431" s="27"/>
      <c r="D431" s="35"/>
      <c r="E431" s="28"/>
      <c r="F431" s="28"/>
    </row>
    <row r="432" spans="1:6" x14ac:dyDescent="0.2">
      <c r="A432" s="27"/>
      <c r="B432" s="27"/>
      <c r="C432" s="27"/>
      <c r="D432" s="35"/>
      <c r="E432" s="28"/>
      <c r="F432" s="28"/>
    </row>
    <row r="433" spans="1:6" x14ac:dyDescent="0.2">
      <c r="A433" s="27"/>
      <c r="B433" s="27"/>
      <c r="C433" s="27"/>
      <c r="D433" s="35"/>
      <c r="E433" s="28"/>
      <c r="F433" s="28"/>
    </row>
    <row r="434" spans="1:6" x14ac:dyDescent="0.2">
      <c r="A434" s="27"/>
      <c r="B434" s="27"/>
      <c r="C434" s="27"/>
      <c r="D434" s="35"/>
      <c r="E434" s="28"/>
      <c r="F434" s="28"/>
    </row>
    <row r="435" spans="1:6" x14ac:dyDescent="0.2">
      <c r="A435" s="27"/>
      <c r="B435" s="27"/>
      <c r="C435" s="27"/>
      <c r="D435" s="35"/>
      <c r="E435" s="28"/>
      <c r="F435" s="28"/>
    </row>
    <row r="436" spans="1:6" x14ac:dyDescent="0.2">
      <c r="A436" s="27"/>
      <c r="B436" s="27"/>
      <c r="C436" s="27"/>
      <c r="D436" s="35"/>
      <c r="E436" s="28"/>
      <c r="F436" s="28"/>
    </row>
    <row r="437" spans="1:6" x14ac:dyDescent="0.2">
      <c r="A437" s="27"/>
      <c r="B437" s="27"/>
      <c r="C437" s="27"/>
      <c r="D437" s="35"/>
      <c r="E437" s="28"/>
      <c r="F437" s="28"/>
    </row>
    <row r="438" spans="1:6" x14ac:dyDescent="0.2">
      <c r="A438" s="27"/>
      <c r="B438" s="27"/>
      <c r="C438" s="27"/>
      <c r="D438" s="35"/>
      <c r="E438" s="28"/>
      <c r="F438" s="28"/>
    </row>
    <row r="439" spans="1:6" x14ac:dyDescent="0.2">
      <c r="A439" s="27"/>
      <c r="B439" s="27"/>
      <c r="C439" s="27"/>
      <c r="D439" s="35"/>
      <c r="E439" s="28"/>
      <c r="F439" s="28"/>
    </row>
    <row r="440" spans="1:6" x14ac:dyDescent="0.2">
      <c r="A440" s="27"/>
      <c r="B440" s="27"/>
      <c r="C440" s="27"/>
      <c r="D440" s="35"/>
      <c r="E440" s="28"/>
      <c r="F440" s="28"/>
    </row>
    <row r="441" spans="1:6" x14ac:dyDescent="0.2">
      <c r="A441" s="27"/>
      <c r="B441" s="27"/>
      <c r="C441" s="27"/>
      <c r="D441" s="35"/>
      <c r="E441" s="28"/>
      <c r="F441" s="28"/>
    </row>
    <row r="442" spans="1:6" x14ac:dyDescent="0.2">
      <c r="A442" s="27"/>
      <c r="B442" s="27"/>
      <c r="C442" s="27"/>
      <c r="D442" s="35"/>
      <c r="E442" s="28"/>
      <c r="F442" s="28"/>
    </row>
    <row r="443" spans="1:6" x14ac:dyDescent="0.2">
      <c r="A443" s="27"/>
      <c r="B443" s="27"/>
      <c r="C443" s="27"/>
      <c r="D443" s="35"/>
      <c r="E443" s="28"/>
      <c r="F443" s="28"/>
    </row>
    <row r="444" spans="1:6" x14ac:dyDescent="0.2">
      <c r="A444" s="27"/>
      <c r="B444" s="27"/>
      <c r="C444" s="27"/>
      <c r="D444" s="35"/>
      <c r="E444" s="28"/>
      <c r="F444" s="28"/>
    </row>
    <row r="445" spans="1:6" x14ac:dyDescent="0.2">
      <c r="A445" s="27"/>
      <c r="B445" s="27"/>
      <c r="C445" s="27"/>
      <c r="D445" s="35"/>
      <c r="E445" s="28"/>
      <c r="F445" s="28"/>
    </row>
    <row r="446" spans="1:6" x14ac:dyDescent="0.2">
      <c r="A446" s="27"/>
      <c r="B446" s="27"/>
      <c r="C446" s="27"/>
      <c r="D446" s="35"/>
      <c r="E446" s="28"/>
      <c r="F446" s="28"/>
    </row>
    <row r="447" spans="1:6" x14ac:dyDescent="0.2">
      <c r="A447" s="27"/>
      <c r="B447" s="27"/>
      <c r="C447" s="27"/>
      <c r="D447" s="35"/>
      <c r="E447" s="28"/>
      <c r="F447" s="28"/>
    </row>
    <row r="448" spans="1:6" x14ac:dyDescent="0.2">
      <c r="A448" s="27"/>
      <c r="B448" s="27"/>
      <c r="C448" s="27"/>
      <c r="D448" s="35"/>
      <c r="E448" s="28"/>
      <c r="F448" s="28"/>
    </row>
    <row r="449" spans="1:6" x14ac:dyDescent="0.2">
      <c r="A449" s="27"/>
      <c r="B449" s="27"/>
      <c r="C449" s="27"/>
      <c r="D449" s="35"/>
      <c r="E449" s="28"/>
      <c r="F449" s="28"/>
    </row>
    <row r="450" spans="1:6" x14ac:dyDescent="0.2">
      <c r="A450" s="27"/>
      <c r="B450" s="27"/>
      <c r="C450" s="27"/>
      <c r="D450" s="35"/>
      <c r="E450" s="28"/>
      <c r="F450" s="28"/>
    </row>
    <row r="451" spans="1:6" x14ac:dyDescent="0.2">
      <c r="A451" s="27"/>
      <c r="B451" s="27"/>
      <c r="C451" s="27"/>
      <c r="D451" s="35"/>
      <c r="E451" s="28"/>
      <c r="F451" s="28"/>
    </row>
    <row r="452" spans="1:6" x14ac:dyDescent="0.2">
      <c r="A452" s="27"/>
      <c r="B452" s="27"/>
      <c r="C452" s="27"/>
      <c r="D452" s="35"/>
      <c r="E452" s="28"/>
      <c r="F452" s="28"/>
    </row>
    <row r="453" spans="1:6" x14ac:dyDescent="0.2">
      <c r="A453" s="27"/>
      <c r="B453" s="27"/>
      <c r="C453" s="27"/>
      <c r="D453" s="35"/>
      <c r="E453" s="28"/>
      <c r="F453" s="28"/>
    </row>
    <row r="454" spans="1:6" x14ac:dyDescent="0.2">
      <c r="A454" s="27"/>
      <c r="B454" s="27"/>
      <c r="C454" s="27"/>
      <c r="D454" s="35"/>
      <c r="E454" s="28"/>
      <c r="F454" s="28"/>
    </row>
    <row r="455" spans="1:6" x14ac:dyDescent="0.2">
      <c r="A455" s="27"/>
      <c r="B455" s="27"/>
      <c r="C455" s="27"/>
      <c r="D455" s="35"/>
      <c r="E455" s="28"/>
      <c r="F455" s="28"/>
    </row>
    <row r="456" spans="1:6" x14ac:dyDescent="0.2">
      <c r="A456" s="27"/>
      <c r="B456" s="27"/>
      <c r="C456" s="27"/>
      <c r="D456" s="35"/>
      <c r="E456" s="28"/>
      <c r="F456" s="28"/>
    </row>
    <row r="457" spans="1:6" x14ac:dyDescent="0.2">
      <c r="A457" s="27"/>
      <c r="B457" s="27"/>
      <c r="C457" s="27"/>
      <c r="D457" s="35"/>
      <c r="E457" s="28"/>
      <c r="F457" s="28"/>
    </row>
    <row r="458" spans="1:6" x14ac:dyDescent="0.2">
      <c r="A458" s="27"/>
      <c r="B458" s="27"/>
      <c r="C458" s="27"/>
      <c r="D458" s="35"/>
      <c r="E458" s="28"/>
      <c r="F458" s="28"/>
    </row>
    <row r="459" spans="1:6" x14ac:dyDescent="0.2">
      <c r="A459" s="27"/>
      <c r="B459" s="27"/>
      <c r="C459" s="27"/>
      <c r="D459" s="35"/>
      <c r="E459" s="28"/>
      <c r="F459" s="28"/>
    </row>
    <row r="460" spans="1:6" x14ac:dyDescent="0.2">
      <c r="A460" s="27"/>
      <c r="B460" s="27"/>
      <c r="C460" s="27"/>
      <c r="D460" s="35"/>
      <c r="E460" s="28"/>
      <c r="F460" s="28"/>
    </row>
    <row r="461" spans="1:6" x14ac:dyDescent="0.2">
      <c r="A461" s="27"/>
      <c r="B461" s="27"/>
      <c r="C461" s="27"/>
      <c r="D461" s="35"/>
      <c r="E461" s="28"/>
      <c r="F461" s="28"/>
    </row>
    <row r="462" spans="1:6" x14ac:dyDescent="0.2">
      <c r="A462" s="27"/>
      <c r="B462" s="27"/>
      <c r="C462" s="27"/>
      <c r="D462" s="35"/>
      <c r="E462" s="28"/>
      <c r="F462" s="28"/>
    </row>
    <row r="463" spans="1:6" x14ac:dyDescent="0.2">
      <c r="A463" s="27"/>
      <c r="B463" s="27"/>
      <c r="C463" s="27"/>
      <c r="D463" s="35"/>
      <c r="E463" s="28"/>
      <c r="F463" s="28"/>
    </row>
    <row r="464" spans="1:6" x14ac:dyDescent="0.2">
      <c r="A464" s="27"/>
      <c r="B464" s="27"/>
      <c r="C464" s="27"/>
      <c r="D464" s="35"/>
      <c r="E464" s="28"/>
      <c r="F464" s="28"/>
    </row>
    <row r="465" spans="1:6" x14ac:dyDescent="0.2">
      <c r="A465" s="27"/>
      <c r="B465" s="27"/>
      <c r="C465" s="27"/>
      <c r="D465" s="35"/>
      <c r="E465" s="28"/>
      <c r="F465" s="28"/>
    </row>
    <row r="466" spans="1:6" x14ac:dyDescent="0.2">
      <c r="A466" s="27"/>
      <c r="B466" s="27"/>
      <c r="C466" s="27"/>
      <c r="D466" s="35"/>
      <c r="E466" s="28"/>
      <c r="F466" s="28"/>
    </row>
    <row r="467" spans="1:6" x14ac:dyDescent="0.2">
      <c r="A467" s="27"/>
      <c r="B467" s="27"/>
      <c r="C467" s="27"/>
      <c r="D467" s="35"/>
      <c r="E467" s="28"/>
      <c r="F467" s="28"/>
    </row>
    <row r="468" spans="1:6" x14ac:dyDescent="0.2">
      <c r="A468" s="27"/>
      <c r="B468" s="27"/>
      <c r="C468" s="27"/>
      <c r="D468" s="35"/>
      <c r="E468" s="28"/>
      <c r="F468" s="28"/>
    </row>
    <row r="469" spans="1:6" x14ac:dyDescent="0.2">
      <c r="A469" s="27"/>
      <c r="B469" s="27"/>
      <c r="C469" s="27"/>
      <c r="D469" s="35"/>
      <c r="E469" s="28"/>
      <c r="F469" s="28"/>
    </row>
    <row r="470" spans="1:6" x14ac:dyDescent="0.2">
      <c r="A470" s="27"/>
      <c r="B470" s="27"/>
      <c r="C470" s="27"/>
      <c r="D470" s="35"/>
      <c r="E470" s="28"/>
      <c r="F470" s="28"/>
    </row>
    <row r="471" spans="1:6" x14ac:dyDescent="0.2">
      <c r="A471" s="27"/>
      <c r="B471" s="27"/>
      <c r="C471" s="27"/>
      <c r="D471" s="35"/>
      <c r="E471" s="28"/>
      <c r="F471" s="28"/>
    </row>
    <row r="472" spans="1:6" x14ac:dyDescent="0.2">
      <c r="A472" s="27"/>
      <c r="B472" s="27"/>
      <c r="C472" s="27"/>
      <c r="D472" s="35"/>
      <c r="E472" s="28"/>
      <c r="F472" s="28"/>
    </row>
    <row r="473" spans="1:6" x14ac:dyDescent="0.2">
      <c r="A473" s="27"/>
      <c r="B473" s="27"/>
      <c r="C473" s="27"/>
      <c r="D473" s="35"/>
      <c r="E473" s="28"/>
      <c r="F473" s="28"/>
    </row>
    <row r="474" spans="1:6" x14ac:dyDescent="0.2">
      <c r="A474" s="27"/>
      <c r="B474" s="27"/>
      <c r="C474" s="27"/>
      <c r="D474" s="35"/>
      <c r="E474" s="28"/>
      <c r="F474" s="28"/>
    </row>
    <row r="475" spans="1:6" x14ac:dyDescent="0.2">
      <c r="A475" s="27"/>
      <c r="B475" s="27"/>
      <c r="C475" s="27"/>
      <c r="D475" s="35"/>
      <c r="E475" s="28"/>
      <c r="F475" s="28"/>
    </row>
    <row r="476" spans="1:6" x14ac:dyDescent="0.2">
      <c r="A476" s="27"/>
      <c r="B476" s="27"/>
      <c r="C476" s="27"/>
      <c r="D476" s="35"/>
      <c r="E476" s="28"/>
      <c r="F476" s="28"/>
    </row>
    <row r="477" spans="1:6" x14ac:dyDescent="0.2">
      <c r="A477" s="27"/>
      <c r="B477" s="27"/>
      <c r="C477" s="27"/>
      <c r="D477" s="35"/>
      <c r="E477" s="28"/>
      <c r="F477" s="28"/>
    </row>
    <row r="478" spans="1:6" x14ac:dyDescent="0.2">
      <c r="A478" s="27"/>
      <c r="B478" s="27"/>
      <c r="C478" s="27"/>
      <c r="D478" s="35"/>
      <c r="E478" s="28"/>
      <c r="F478" s="28"/>
    </row>
    <row r="479" spans="1:6" x14ac:dyDescent="0.2">
      <c r="A479" s="27"/>
      <c r="B479" s="27"/>
      <c r="C479" s="27"/>
      <c r="D479" s="35"/>
      <c r="E479" s="28"/>
      <c r="F479" s="28"/>
    </row>
    <row r="480" spans="1:6" x14ac:dyDescent="0.2">
      <c r="A480" s="27"/>
      <c r="B480" s="27"/>
      <c r="C480" s="27"/>
      <c r="D480" s="35"/>
      <c r="E480" s="28"/>
      <c r="F480" s="28"/>
    </row>
    <row r="481" spans="1:6" x14ac:dyDescent="0.2">
      <c r="A481" s="27"/>
      <c r="B481" s="27"/>
      <c r="C481" s="27"/>
      <c r="D481" s="35"/>
      <c r="E481" s="28"/>
      <c r="F481" s="28"/>
    </row>
    <row r="482" spans="1:6" x14ac:dyDescent="0.2">
      <c r="A482" s="27"/>
      <c r="B482" s="27"/>
      <c r="C482" s="27"/>
      <c r="D482" s="35"/>
      <c r="E482" s="28"/>
      <c r="F482" s="28"/>
    </row>
    <row r="483" spans="1:6" x14ac:dyDescent="0.2">
      <c r="A483" s="27"/>
      <c r="B483" s="27"/>
      <c r="C483" s="27"/>
      <c r="D483" s="35"/>
      <c r="E483" s="28"/>
      <c r="F483" s="28"/>
    </row>
    <row r="484" spans="1:6" x14ac:dyDescent="0.2">
      <c r="A484" s="27"/>
      <c r="B484" s="27"/>
      <c r="C484" s="27"/>
      <c r="D484" s="35"/>
      <c r="E484" s="28"/>
      <c r="F484" s="28"/>
    </row>
    <row r="485" spans="1:6" x14ac:dyDescent="0.2">
      <c r="A485" s="27"/>
      <c r="B485" s="27"/>
      <c r="C485" s="27"/>
      <c r="D485" s="35"/>
      <c r="E485" s="28"/>
      <c r="F485" s="28"/>
    </row>
    <row r="486" spans="1:6" x14ac:dyDescent="0.2">
      <c r="A486" s="27"/>
      <c r="B486" s="27"/>
      <c r="C486" s="27"/>
      <c r="D486" s="35"/>
      <c r="E486" s="28"/>
      <c r="F486" s="28"/>
    </row>
    <row r="487" spans="1:6" x14ac:dyDescent="0.2">
      <c r="A487" s="27"/>
      <c r="B487" s="27"/>
      <c r="C487" s="27"/>
      <c r="D487" s="35"/>
      <c r="E487" s="28"/>
      <c r="F487" s="28"/>
    </row>
    <row r="488" spans="1:6" x14ac:dyDescent="0.2">
      <c r="A488" s="27"/>
      <c r="B488" s="27"/>
      <c r="C488" s="27"/>
      <c r="D488" s="35"/>
      <c r="E488" s="28"/>
      <c r="F488" s="28"/>
    </row>
    <row r="489" spans="1:6" x14ac:dyDescent="0.2">
      <c r="A489" s="27"/>
      <c r="B489" s="27"/>
      <c r="C489" s="27"/>
      <c r="D489" s="35"/>
      <c r="E489" s="28"/>
      <c r="F489" s="28"/>
    </row>
    <row r="490" spans="1:6" x14ac:dyDescent="0.2">
      <c r="A490" s="27"/>
      <c r="B490" s="27"/>
      <c r="C490" s="27"/>
      <c r="D490" s="35"/>
      <c r="E490" s="28"/>
      <c r="F490" s="28"/>
    </row>
    <row r="491" spans="1:6" x14ac:dyDescent="0.2">
      <c r="A491" s="27"/>
      <c r="B491" s="27"/>
      <c r="C491" s="27"/>
      <c r="D491" s="35"/>
      <c r="E491" s="28"/>
      <c r="F491" s="28"/>
    </row>
    <row r="492" spans="1:6" x14ac:dyDescent="0.2">
      <c r="A492" s="27"/>
      <c r="B492" s="27"/>
      <c r="C492" s="27"/>
      <c r="D492" s="35"/>
      <c r="E492" s="28"/>
      <c r="F492" s="28"/>
    </row>
    <row r="493" spans="1:6" x14ac:dyDescent="0.2">
      <c r="A493" s="27"/>
      <c r="B493" s="27"/>
      <c r="C493" s="27"/>
      <c r="D493" s="35"/>
      <c r="E493" s="28"/>
      <c r="F493" s="28"/>
    </row>
    <row r="494" spans="1:6" x14ac:dyDescent="0.2">
      <c r="A494" s="27"/>
      <c r="B494" s="27"/>
      <c r="C494" s="27"/>
      <c r="D494" s="35"/>
      <c r="E494" s="28"/>
      <c r="F494" s="28"/>
    </row>
    <row r="495" spans="1:6" x14ac:dyDescent="0.2">
      <c r="A495" s="27"/>
      <c r="B495" s="27"/>
      <c r="C495" s="27"/>
      <c r="D495" s="35"/>
      <c r="E495" s="28"/>
      <c r="F495" s="28"/>
    </row>
    <row r="496" spans="1:6" x14ac:dyDescent="0.2">
      <c r="A496" s="27"/>
      <c r="B496" s="27"/>
      <c r="C496" s="27"/>
      <c r="D496" s="35"/>
      <c r="E496" s="28"/>
      <c r="F496" s="28"/>
    </row>
    <row r="497" spans="1:6" x14ac:dyDescent="0.2">
      <c r="A497" s="27"/>
      <c r="B497" s="27"/>
      <c r="C497" s="27"/>
      <c r="D497" s="35"/>
      <c r="E497" s="28"/>
      <c r="F497" s="28"/>
    </row>
    <row r="498" spans="1:6" x14ac:dyDescent="0.2">
      <c r="A498" s="27"/>
      <c r="B498" s="27"/>
      <c r="C498" s="27"/>
      <c r="D498" s="35"/>
      <c r="E498" s="28"/>
      <c r="F498" s="28"/>
    </row>
    <row r="499" spans="1:6" x14ac:dyDescent="0.2">
      <c r="A499" s="27"/>
      <c r="B499" s="27"/>
      <c r="C499" s="27"/>
      <c r="D499" s="35"/>
      <c r="E499" s="28"/>
      <c r="F499" s="28"/>
    </row>
    <row r="500" spans="1:6" x14ac:dyDescent="0.2">
      <c r="A500" s="27"/>
      <c r="B500" s="27"/>
      <c r="C500" s="27"/>
      <c r="D500" s="35"/>
      <c r="E500" s="28"/>
      <c r="F500" s="28"/>
    </row>
    <row r="501" spans="1:6" x14ac:dyDescent="0.2">
      <c r="A501" s="27"/>
      <c r="B501" s="27"/>
      <c r="C501" s="27"/>
      <c r="D501" s="35"/>
      <c r="E501" s="28"/>
      <c r="F501" s="28"/>
    </row>
    <row r="502" spans="1:6" x14ac:dyDescent="0.2">
      <c r="A502" s="27"/>
      <c r="B502" s="27"/>
      <c r="C502" s="27"/>
      <c r="D502" s="35"/>
      <c r="E502" s="28"/>
      <c r="F502" s="28"/>
    </row>
    <row r="503" spans="1:6" x14ac:dyDescent="0.2">
      <c r="A503" s="27"/>
      <c r="B503" s="27"/>
      <c r="C503" s="27"/>
      <c r="D503" s="35"/>
      <c r="E503" s="28"/>
      <c r="F503" s="28"/>
    </row>
    <row r="504" spans="1:6" x14ac:dyDescent="0.2">
      <c r="A504" s="27"/>
      <c r="B504" s="27"/>
      <c r="C504" s="27"/>
      <c r="D504" s="35"/>
      <c r="E504" s="28"/>
      <c r="F504" s="28"/>
    </row>
    <row r="505" spans="1:6" x14ac:dyDescent="0.2">
      <c r="A505" s="27"/>
      <c r="B505" s="27"/>
      <c r="C505" s="27"/>
      <c r="D505" s="35"/>
      <c r="E505" s="28"/>
      <c r="F505" s="28"/>
    </row>
    <row r="506" spans="1:6" x14ac:dyDescent="0.2">
      <c r="A506" s="27"/>
      <c r="B506" s="27"/>
      <c r="C506" s="27"/>
      <c r="D506" s="35"/>
      <c r="E506" s="28"/>
      <c r="F506" s="28"/>
    </row>
    <row r="507" spans="1:6" x14ac:dyDescent="0.2">
      <c r="A507" s="27"/>
      <c r="B507" s="27"/>
      <c r="C507" s="27"/>
      <c r="D507" s="35"/>
      <c r="E507" s="28"/>
      <c r="F507" s="28"/>
    </row>
    <row r="508" spans="1:6" x14ac:dyDescent="0.2">
      <c r="A508" s="27"/>
      <c r="B508" s="27"/>
      <c r="C508" s="27"/>
      <c r="D508" s="35"/>
      <c r="E508" s="28"/>
      <c r="F508" s="28"/>
    </row>
    <row r="509" spans="1:6" x14ac:dyDescent="0.2">
      <c r="A509" s="27"/>
      <c r="B509" s="27"/>
      <c r="C509" s="27"/>
      <c r="D509" s="35"/>
      <c r="E509" s="28"/>
      <c r="F509" s="28"/>
    </row>
    <row r="510" spans="1:6" x14ac:dyDescent="0.2">
      <c r="A510" s="27"/>
      <c r="B510" s="27"/>
      <c r="C510" s="27"/>
      <c r="D510" s="35"/>
      <c r="E510" s="28"/>
      <c r="F510" s="28"/>
    </row>
    <row r="511" spans="1:6" x14ac:dyDescent="0.2">
      <c r="A511" s="27"/>
      <c r="B511" s="27"/>
      <c r="C511" s="27"/>
      <c r="D511" s="35"/>
      <c r="E511" s="28"/>
      <c r="F511" s="28"/>
    </row>
    <row r="512" spans="1:6" x14ac:dyDescent="0.2">
      <c r="A512" s="27"/>
      <c r="B512" s="27"/>
      <c r="C512" s="27"/>
      <c r="D512" s="35"/>
      <c r="E512" s="28"/>
      <c r="F512" s="28"/>
    </row>
    <row r="513" spans="1:6" x14ac:dyDescent="0.2">
      <c r="A513" s="27"/>
      <c r="B513" s="27"/>
      <c r="C513" s="27"/>
      <c r="D513" s="35"/>
      <c r="E513" s="28"/>
      <c r="F513" s="28"/>
    </row>
    <row r="514" spans="1:6" x14ac:dyDescent="0.2">
      <c r="A514" s="27"/>
      <c r="B514" s="27"/>
      <c r="C514" s="27"/>
      <c r="D514" s="35"/>
      <c r="E514" s="28"/>
      <c r="F514" s="28"/>
    </row>
    <row r="515" spans="1:6" x14ac:dyDescent="0.2">
      <c r="A515" s="27"/>
      <c r="B515" s="27"/>
      <c r="C515" s="27"/>
      <c r="D515" s="35"/>
      <c r="E515" s="28"/>
      <c r="F515" s="28"/>
    </row>
    <row r="516" spans="1:6" x14ac:dyDescent="0.2">
      <c r="A516" s="27"/>
      <c r="B516" s="27"/>
      <c r="C516" s="27"/>
      <c r="D516" s="35"/>
      <c r="E516" s="28"/>
      <c r="F516" s="28"/>
    </row>
    <row r="517" spans="1:6" x14ac:dyDescent="0.2">
      <c r="A517" s="27"/>
      <c r="B517" s="27"/>
      <c r="C517" s="27"/>
      <c r="D517" s="35"/>
      <c r="E517" s="28"/>
      <c r="F517" s="28"/>
    </row>
    <row r="518" spans="1:6" x14ac:dyDescent="0.2">
      <c r="A518" s="27"/>
      <c r="B518" s="27"/>
      <c r="C518" s="27"/>
      <c r="D518" s="35"/>
      <c r="E518" s="28"/>
      <c r="F518" s="28"/>
    </row>
    <row r="519" spans="1:6" x14ac:dyDescent="0.2">
      <c r="A519" s="27"/>
      <c r="B519" s="27"/>
      <c r="C519" s="27"/>
      <c r="D519" s="35"/>
      <c r="E519" s="28"/>
      <c r="F519" s="28"/>
    </row>
    <row r="520" spans="1:6" x14ac:dyDescent="0.2">
      <c r="A520" s="27"/>
      <c r="B520" s="27"/>
      <c r="C520" s="27"/>
      <c r="D520" s="35"/>
      <c r="E520" s="28"/>
      <c r="F520" s="28"/>
    </row>
    <row r="521" spans="1:6" x14ac:dyDescent="0.2">
      <c r="A521" s="27"/>
      <c r="B521" s="27"/>
      <c r="C521" s="27"/>
      <c r="D521" s="35"/>
      <c r="E521" s="28"/>
      <c r="F521" s="28"/>
    </row>
    <row r="522" spans="1:6" x14ac:dyDescent="0.2">
      <c r="A522" s="27"/>
      <c r="B522" s="27"/>
      <c r="C522" s="27"/>
      <c r="D522" s="35"/>
      <c r="E522" s="28"/>
      <c r="F522" s="28"/>
    </row>
    <row r="523" spans="1:6" x14ac:dyDescent="0.2">
      <c r="A523" s="27"/>
      <c r="B523" s="27"/>
      <c r="C523" s="27"/>
      <c r="D523" s="35"/>
      <c r="E523" s="28"/>
      <c r="F523" s="28"/>
    </row>
    <row r="524" spans="1:6" x14ac:dyDescent="0.2">
      <c r="A524" s="27"/>
      <c r="B524" s="27"/>
      <c r="C524" s="27"/>
      <c r="D524" s="35"/>
      <c r="E524" s="28"/>
      <c r="F524" s="28"/>
    </row>
    <row r="525" spans="1:6" x14ac:dyDescent="0.2">
      <c r="A525" s="27"/>
      <c r="B525" s="27"/>
      <c r="C525" s="27"/>
      <c r="D525" s="35"/>
      <c r="E525" s="28"/>
      <c r="F525" s="28"/>
    </row>
    <row r="526" spans="1:6" x14ac:dyDescent="0.2">
      <c r="A526" s="27"/>
      <c r="B526" s="27"/>
      <c r="C526" s="27"/>
      <c r="D526" s="35"/>
      <c r="E526" s="28"/>
      <c r="F526" s="28"/>
    </row>
    <row r="527" spans="1:6" x14ac:dyDescent="0.2">
      <c r="A527" s="27"/>
      <c r="B527" s="27"/>
      <c r="C527" s="27"/>
      <c r="D527" s="35"/>
      <c r="E527" s="28"/>
      <c r="F527" s="28"/>
    </row>
    <row r="528" spans="1:6" x14ac:dyDescent="0.2">
      <c r="A528" s="27"/>
      <c r="B528" s="27"/>
      <c r="C528" s="27"/>
      <c r="D528" s="35"/>
      <c r="E528" s="28"/>
      <c r="F528" s="28"/>
    </row>
    <row r="529" spans="1:6" x14ac:dyDescent="0.2">
      <c r="A529" s="27"/>
      <c r="B529" s="27"/>
      <c r="C529" s="27"/>
      <c r="D529" s="35"/>
      <c r="E529" s="28"/>
      <c r="F529" s="28"/>
    </row>
    <row r="530" spans="1:6" x14ac:dyDescent="0.2">
      <c r="A530" s="27"/>
      <c r="B530" s="27"/>
      <c r="C530" s="27"/>
      <c r="D530" s="35"/>
      <c r="E530" s="28"/>
      <c r="F530" s="28"/>
    </row>
    <row r="531" spans="1:6" x14ac:dyDescent="0.2">
      <c r="A531" s="27"/>
      <c r="B531" s="27"/>
      <c r="C531" s="27"/>
      <c r="D531" s="35"/>
      <c r="E531" s="28"/>
      <c r="F531" s="28"/>
    </row>
    <row r="532" spans="1:6" x14ac:dyDescent="0.2">
      <c r="A532" s="27"/>
      <c r="B532" s="27"/>
      <c r="C532" s="27"/>
      <c r="D532" s="35"/>
      <c r="E532" s="28"/>
      <c r="F532" s="28"/>
    </row>
    <row r="533" spans="1:6" x14ac:dyDescent="0.2">
      <c r="A533" s="27"/>
      <c r="B533" s="27"/>
      <c r="C533" s="27"/>
      <c r="D533" s="35"/>
      <c r="E533" s="28"/>
      <c r="F533" s="28"/>
    </row>
    <row r="534" spans="1:6" x14ac:dyDescent="0.2">
      <c r="A534" s="27"/>
      <c r="B534" s="27"/>
      <c r="C534" s="27"/>
      <c r="D534" s="35"/>
      <c r="E534" s="28"/>
      <c r="F534" s="28"/>
    </row>
    <row r="535" spans="1:6" x14ac:dyDescent="0.2">
      <c r="A535" s="27"/>
      <c r="B535" s="27"/>
      <c r="C535" s="27"/>
      <c r="D535" s="35"/>
      <c r="E535" s="28"/>
      <c r="F535" s="28"/>
    </row>
    <row r="536" spans="1:6" x14ac:dyDescent="0.2">
      <c r="A536" s="27"/>
      <c r="B536" s="27"/>
      <c r="C536" s="27"/>
      <c r="D536" s="35"/>
      <c r="E536" s="28"/>
      <c r="F536" s="28"/>
    </row>
    <row r="537" spans="1:6" x14ac:dyDescent="0.2">
      <c r="A537" s="27"/>
      <c r="B537" s="27"/>
      <c r="C537" s="27"/>
      <c r="D537" s="35"/>
      <c r="E537" s="28"/>
      <c r="F537" s="28"/>
    </row>
    <row r="538" spans="1:6" x14ac:dyDescent="0.2">
      <c r="A538" s="27"/>
      <c r="B538" s="27"/>
      <c r="C538" s="27"/>
      <c r="D538" s="35"/>
      <c r="E538" s="28"/>
      <c r="F538" s="28"/>
    </row>
    <row r="539" spans="1:6" x14ac:dyDescent="0.2">
      <c r="A539" s="27"/>
      <c r="B539" s="27"/>
      <c r="C539" s="27"/>
      <c r="D539" s="35"/>
      <c r="E539" s="28"/>
      <c r="F539" s="28"/>
    </row>
    <row r="540" spans="1:6" x14ac:dyDescent="0.2">
      <c r="A540" s="27"/>
      <c r="B540" s="27"/>
      <c r="C540" s="27"/>
      <c r="D540" s="35"/>
      <c r="E540" s="28"/>
      <c r="F540" s="28"/>
    </row>
    <row r="541" spans="1:6" x14ac:dyDescent="0.2">
      <c r="A541" s="27"/>
      <c r="B541" s="27"/>
      <c r="C541" s="27"/>
      <c r="D541" s="35"/>
      <c r="E541" s="28"/>
      <c r="F541" s="28"/>
    </row>
    <row r="542" spans="1:6" x14ac:dyDescent="0.2">
      <c r="A542" s="27"/>
      <c r="B542" s="27"/>
      <c r="C542" s="27"/>
      <c r="D542" s="35"/>
      <c r="E542" s="28"/>
      <c r="F542" s="28"/>
    </row>
    <row r="543" spans="1:6" x14ac:dyDescent="0.2">
      <c r="A543" s="27"/>
      <c r="B543" s="27"/>
      <c r="C543" s="27"/>
      <c r="D543" s="35"/>
      <c r="E543" s="28"/>
      <c r="F543" s="28"/>
    </row>
    <row r="544" spans="1:6" x14ac:dyDescent="0.2">
      <c r="A544" s="27"/>
      <c r="B544" s="27"/>
      <c r="C544" s="27"/>
      <c r="D544" s="35"/>
      <c r="E544" s="28"/>
      <c r="F544" s="28"/>
    </row>
    <row r="545" spans="1:6" x14ac:dyDescent="0.2">
      <c r="A545" s="27"/>
      <c r="B545" s="27"/>
      <c r="C545" s="27"/>
      <c r="D545" s="35"/>
      <c r="E545" s="28"/>
      <c r="F545" s="28"/>
    </row>
    <row r="546" spans="1:6" x14ac:dyDescent="0.2">
      <c r="A546" s="27"/>
      <c r="B546" s="27"/>
      <c r="C546" s="27"/>
      <c r="D546" s="35"/>
      <c r="E546" s="28"/>
      <c r="F546" s="28"/>
    </row>
    <row r="547" spans="1:6" x14ac:dyDescent="0.2">
      <c r="A547" s="27"/>
      <c r="B547" s="27"/>
      <c r="C547" s="27"/>
      <c r="D547" s="35"/>
      <c r="E547" s="28"/>
      <c r="F547" s="28"/>
    </row>
    <row r="548" spans="1:6" x14ac:dyDescent="0.2">
      <c r="A548" s="27"/>
      <c r="B548" s="27"/>
      <c r="C548" s="27"/>
      <c r="D548" s="35"/>
      <c r="E548" s="28"/>
      <c r="F548" s="28"/>
    </row>
    <row r="549" spans="1:6" x14ac:dyDescent="0.2">
      <c r="A549" s="27"/>
      <c r="B549" s="27"/>
      <c r="C549" s="27"/>
      <c r="D549" s="35"/>
      <c r="E549" s="28"/>
      <c r="F549" s="28"/>
    </row>
    <row r="550" spans="1:6" x14ac:dyDescent="0.2">
      <c r="A550" s="27"/>
      <c r="B550" s="27"/>
      <c r="C550" s="27"/>
      <c r="D550" s="35"/>
      <c r="E550" s="28"/>
      <c r="F550" s="28"/>
    </row>
    <row r="551" spans="1:6" x14ac:dyDescent="0.2">
      <c r="A551" s="27"/>
      <c r="B551" s="27"/>
      <c r="C551" s="27"/>
      <c r="D551" s="35"/>
      <c r="E551" s="28"/>
      <c r="F551" s="28"/>
    </row>
    <row r="552" spans="1:6" x14ac:dyDescent="0.2">
      <c r="A552" s="27"/>
      <c r="B552" s="27"/>
      <c r="C552" s="27"/>
      <c r="D552" s="35"/>
      <c r="E552" s="28"/>
      <c r="F552" s="28"/>
    </row>
    <row r="553" spans="1:6" x14ac:dyDescent="0.2">
      <c r="A553" s="27"/>
      <c r="B553" s="27"/>
      <c r="C553" s="27"/>
      <c r="D553" s="35"/>
      <c r="E553" s="28"/>
      <c r="F553" s="28"/>
    </row>
    <row r="554" spans="1:6" x14ac:dyDescent="0.2">
      <c r="A554" s="27"/>
      <c r="B554" s="27"/>
      <c r="C554" s="27"/>
      <c r="D554" s="35"/>
      <c r="E554" s="28"/>
      <c r="F554" s="28"/>
    </row>
    <row r="555" spans="1:6" x14ac:dyDescent="0.2">
      <c r="A555" s="27"/>
      <c r="B555" s="27"/>
      <c r="C555" s="27"/>
      <c r="D555" s="35"/>
      <c r="E555" s="28"/>
      <c r="F555" s="28"/>
    </row>
    <row r="556" spans="1:6" x14ac:dyDescent="0.2">
      <c r="A556" s="27"/>
      <c r="B556" s="27"/>
      <c r="C556" s="27"/>
      <c r="D556" s="35"/>
      <c r="E556" s="28"/>
      <c r="F556" s="28"/>
    </row>
    <row r="557" spans="1:6" x14ac:dyDescent="0.2">
      <c r="A557" s="27"/>
      <c r="B557" s="27"/>
      <c r="C557" s="27"/>
      <c r="D557" s="35"/>
      <c r="E557" s="28"/>
      <c r="F557" s="28"/>
    </row>
    <row r="558" spans="1:6" x14ac:dyDescent="0.2">
      <c r="A558" s="27"/>
      <c r="B558" s="27"/>
      <c r="C558" s="27"/>
      <c r="D558" s="35"/>
      <c r="E558" s="28"/>
      <c r="F558" s="28"/>
    </row>
    <row r="559" spans="1:6" x14ac:dyDescent="0.2">
      <c r="A559" s="27"/>
      <c r="B559" s="27"/>
      <c r="C559" s="27"/>
      <c r="D559" s="35"/>
      <c r="E559" s="28"/>
      <c r="F559" s="28"/>
    </row>
    <row r="560" spans="1:6" x14ac:dyDescent="0.2">
      <c r="A560" s="27"/>
      <c r="B560" s="27"/>
      <c r="C560" s="27"/>
      <c r="D560" s="35"/>
      <c r="E560" s="28"/>
      <c r="F560" s="28"/>
    </row>
    <row r="561" spans="1:6" x14ac:dyDescent="0.2">
      <c r="A561" s="27"/>
      <c r="B561" s="27"/>
      <c r="C561" s="27"/>
      <c r="D561" s="35"/>
      <c r="E561" s="28"/>
      <c r="F561" s="28"/>
    </row>
    <row r="562" spans="1:6" x14ac:dyDescent="0.2">
      <c r="A562" s="27"/>
      <c r="B562" s="27"/>
      <c r="C562" s="27"/>
      <c r="D562" s="35"/>
      <c r="E562" s="28"/>
      <c r="F562" s="28"/>
    </row>
    <row r="563" spans="1:6" x14ac:dyDescent="0.2">
      <c r="A563" s="27"/>
      <c r="B563" s="27"/>
      <c r="C563" s="27"/>
      <c r="D563" s="35"/>
      <c r="E563" s="28"/>
      <c r="F563" s="28"/>
    </row>
    <row r="564" spans="1:6" x14ac:dyDescent="0.2">
      <c r="A564" s="27"/>
      <c r="B564" s="27"/>
      <c r="C564" s="27"/>
      <c r="D564" s="35"/>
      <c r="E564" s="28"/>
      <c r="F564" s="28"/>
    </row>
    <row r="565" spans="1:6" x14ac:dyDescent="0.2">
      <c r="A565" s="27"/>
      <c r="B565" s="27"/>
      <c r="C565" s="27"/>
      <c r="D565" s="35"/>
      <c r="E565" s="28"/>
      <c r="F565" s="28"/>
    </row>
    <row r="566" spans="1:6" x14ac:dyDescent="0.2">
      <c r="A566" s="27"/>
      <c r="B566" s="27"/>
      <c r="C566" s="27"/>
      <c r="D566" s="35"/>
      <c r="E566" s="28"/>
      <c r="F566" s="28"/>
    </row>
    <row r="567" spans="1:6" x14ac:dyDescent="0.2">
      <c r="A567" s="27"/>
      <c r="B567" s="27"/>
      <c r="C567" s="27"/>
      <c r="D567" s="35"/>
      <c r="E567" s="28"/>
      <c r="F567" s="28"/>
    </row>
    <row r="568" spans="1:6" x14ac:dyDescent="0.2">
      <c r="A568" s="27"/>
      <c r="B568" s="27"/>
      <c r="C568" s="27"/>
      <c r="D568" s="35"/>
      <c r="E568" s="28"/>
      <c r="F568" s="28"/>
    </row>
    <row r="569" spans="1:6" x14ac:dyDescent="0.2">
      <c r="A569" s="27"/>
      <c r="B569" s="27"/>
      <c r="C569" s="27"/>
      <c r="D569" s="35"/>
      <c r="E569" s="28"/>
      <c r="F569" s="28"/>
    </row>
    <row r="570" spans="1:6" x14ac:dyDescent="0.2">
      <c r="A570" s="27"/>
      <c r="B570" s="27"/>
      <c r="C570" s="27"/>
      <c r="D570" s="35"/>
      <c r="E570" s="28"/>
      <c r="F570" s="28"/>
    </row>
    <row r="571" spans="1:6" x14ac:dyDescent="0.2">
      <c r="A571" s="27"/>
      <c r="B571" s="27"/>
      <c r="C571" s="27"/>
      <c r="D571" s="35"/>
      <c r="E571" s="28"/>
      <c r="F571" s="28"/>
    </row>
    <row r="572" spans="1:6" x14ac:dyDescent="0.2">
      <c r="A572" s="27"/>
      <c r="B572" s="27"/>
      <c r="C572" s="27"/>
      <c r="D572" s="35"/>
      <c r="E572" s="28"/>
      <c r="F572" s="28"/>
    </row>
    <row r="573" spans="1:6" x14ac:dyDescent="0.2">
      <c r="A573" s="27"/>
      <c r="B573" s="27"/>
      <c r="C573" s="27"/>
      <c r="D573" s="35"/>
      <c r="E573" s="28"/>
      <c r="F573" s="28"/>
    </row>
    <row r="574" spans="1:6" x14ac:dyDescent="0.2">
      <c r="A574" s="27"/>
      <c r="B574" s="27"/>
      <c r="C574" s="27"/>
      <c r="D574" s="35"/>
      <c r="E574" s="28"/>
      <c r="F574" s="28"/>
    </row>
    <row r="575" spans="1:6" x14ac:dyDescent="0.2">
      <c r="A575" s="27"/>
      <c r="B575" s="27"/>
      <c r="C575" s="27"/>
      <c r="D575" s="35"/>
      <c r="E575" s="28"/>
      <c r="F575" s="28"/>
    </row>
    <row r="576" spans="1:6" x14ac:dyDescent="0.2">
      <c r="A576" s="27"/>
      <c r="B576" s="27"/>
      <c r="C576" s="27"/>
      <c r="D576" s="35"/>
      <c r="E576" s="28"/>
      <c r="F576" s="28"/>
    </row>
    <row r="577" spans="1:6" x14ac:dyDescent="0.2">
      <c r="A577" s="27"/>
      <c r="B577" s="27"/>
      <c r="C577" s="27"/>
      <c r="D577" s="35"/>
      <c r="E577" s="28"/>
      <c r="F577" s="28"/>
    </row>
    <row r="578" spans="1:6" x14ac:dyDescent="0.2">
      <c r="A578" s="27"/>
      <c r="B578" s="27"/>
      <c r="C578" s="27"/>
      <c r="D578" s="35"/>
      <c r="E578" s="28"/>
      <c r="F578" s="28"/>
    </row>
    <row r="579" spans="1:6" x14ac:dyDescent="0.2">
      <c r="A579" s="27"/>
      <c r="B579" s="27"/>
      <c r="C579" s="27"/>
      <c r="D579" s="35"/>
      <c r="E579" s="28"/>
      <c r="F579" s="28"/>
    </row>
    <row r="580" spans="1:6" x14ac:dyDescent="0.2">
      <c r="A580" s="27"/>
      <c r="B580" s="27"/>
      <c r="C580" s="27"/>
      <c r="D580" s="35"/>
      <c r="E580" s="28"/>
      <c r="F580" s="28"/>
    </row>
    <row r="581" spans="1:6" x14ac:dyDescent="0.2">
      <c r="A581" s="27"/>
      <c r="B581" s="27"/>
      <c r="C581" s="27"/>
      <c r="D581" s="35"/>
      <c r="E581" s="28"/>
      <c r="F581" s="28"/>
    </row>
    <row r="582" spans="1:6" x14ac:dyDescent="0.2">
      <c r="A582" s="27"/>
      <c r="B582" s="27"/>
      <c r="C582" s="27"/>
      <c r="D582" s="35"/>
      <c r="E582" s="28"/>
      <c r="F582" s="28"/>
    </row>
    <row r="583" spans="1:6" x14ac:dyDescent="0.2">
      <c r="A583" s="27"/>
      <c r="B583" s="27"/>
      <c r="C583" s="27"/>
      <c r="D583" s="35"/>
      <c r="E583" s="28"/>
      <c r="F583" s="28"/>
    </row>
    <row r="584" spans="1:6" x14ac:dyDescent="0.2">
      <c r="A584" s="27"/>
      <c r="B584" s="27"/>
      <c r="C584" s="27"/>
      <c r="D584" s="35"/>
      <c r="E584" s="28"/>
      <c r="F584" s="28"/>
    </row>
    <row r="585" spans="1:6" x14ac:dyDescent="0.2">
      <c r="A585" s="27"/>
      <c r="B585" s="27"/>
      <c r="C585" s="27"/>
      <c r="D585" s="35"/>
      <c r="E585" s="28"/>
      <c r="F585" s="28"/>
    </row>
    <row r="586" spans="1:6" x14ac:dyDescent="0.2">
      <c r="A586" s="27"/>
      <c r="B586" s="27"/>
      <c r="C586" s="27"/>
      <c r="D586" s="35"/>
      <c r="E586" s="28"/>
      <c r="F586" s="28"/>
    </row>
    <row r="587" spans="1:6" x14ac:dyDescent="0.2">
      <c r="A587" s="27"/>
      <c r="B587" s="27"/>
      <c r="C587" s="27"/>
      <c r="D587" s="35"/>
      <c r="E587" s="28"/>
      <c r="F587" s="28"/>
    </row>
    <row r="588" spans="1:6" x14ac:dyDescent="0.2">
      <c r="A588" s="27"/>
      <c r="B588" s="27"/>
      <c r="C588" s="27"/>
      <c r="D588" s="35"/>
      <c r="E588" s="28"/>
      <c r="F588" s="28"/>
    </row>
    <row r="589" spans="1:6" x14ac:dyDescent="0.2">
      <c r="A589" s="27"/>
      <c r="B589" s="27"/>
      <c r="C589" s="27"/>
      <c r="D589" s="35"/>
      <c r="E589" s="28"/>
      <c r="F589" s="28"/>
    </row>
    <row r="590" spans="1:6" x14ac:dyDescent="0.2">
      <c r="A590" s="27"/>
      <c r="B590" s="27"/>
      <c r="C590" s="27"/>
      <c r="D590" s="35"/>
      <c r="E590" s="28"/>
      <c r="F590" s="28"/>
    </row>
    <row r="591" spans="1:6" x14ac:dyDescent="0.2">
      <c r="A591" s="27"/>
      <c r="B591" s="27"/>
      <c r="C591" s="27"/>
      <c r="D591" s="35"/>
      <c r="E591" s="28"/>
      <c r="F591" s="28"/>
    </row>
    <row r="592" spans="1:6" x14ac:dyDescent="0.2">
      <c r="A592" s="27"/>
      <c r="B592" s="27"/>
      <c r="C592" s="27"/>
      <c r="D592" s="35"/>
      <c r="E592" s="28"/>
      <c r="F592" s="28"/>
    </row>
    <row r="593" spans="1:6" x14ac:dyDescent="0.2">
      <c r="A593" s="27"/>
      <c r="B593" s="27"/>
      <c r="C593" s="27"/>
      <c r="D593" s="35"/>
      <c r="E593" s="28"/>
      <c r="F593" s="28"/>
    </row>
    <row r="594" spans="1:6" x14ac:dyDescent="0.2">
      <c r="A594" s="27"/>
      <c r="B594" s="27"/>
      <c r="C594" s="27"/>
      <c r="D594" s="35"/>
      <c r="E594" s="28"/>
      <c r="F594" s="28"/>
    </row>
    <row r="595" spans="1:6" x14ac:dyDescent="0.2">
      <c r="A595" s="27"/>
      <c r="B595" s="27"/>
      <c r="C595" s="27"/>
      <c r="D595" s="35"/>
      <c r="E595" s="28"/>
      <c r="F595" s="28"/>
    </row>
    <row r="596" spans="1:6" x14ac:dyDescent="0.2">
      <c r="A596" s="27"/>
      <c r="B596" s="27"/>
      <c r="C596" s="27"/>
      <c r="D596" s="35"/>
      <c r="E596" s="28"/>
      <c r="F596" s="28"/>
    </row>
    <row r="597" spans="1:6" x14ac:dyDescent="0.2">
      <c r="A597" s="27"/>
      <c r="B597" s="27"/>
      <c r="C597" s="27"/>
      <c r="D597" s="35"/>
      <c r="E597" s="28"/>
      <c r="F597" s="28"/>
    </row>
    <row r="598" spans="1:6" x14ac:dyDescent="0.2">
      <c r="A598" s="27"/>
      <c r="B598" s="27"/>
      <c r="C598" s="27"/>
      <c r="D598" s="35"/>
      <c r="E598" s="28"/>
      <c r="F598" s="28"/>
    </row>
    <row r="599" spans="1:6" x14ac:dyDescent="0.2">
      <c r="A599" s="27"/>
      <c r="B599" s="27"/>
      <c r="C599" s="27"/>
      <c r="D599" s="35"/>
      <c r="E599" s="28"/>
      <c r="F599" s="28"/>
    </row>
    <row r="600" spans="1:6" x14ac:dyDescent="0.2">
      <c r="A600" s="27"/>
      <c r="B600" s="27"/>
      <c r="C600" s="27"/>
      <c r="D600" s="35"/>
      <c r="E600" s="28"/>
      <c r="F600" s="28"/>
    </row>
    <row r="601" spans="1:6" x14ac:dyDescent="0.2">
      <c r="A601" s="27"/>
      <c r="B601" s="27"/>
      <c r="C601" s="27"/>
      <c r="D601" s="35"/>
      <c r="E601" s="28"/>
      <c r="F601" s="28"/>
    </row>
    <row r="602" spans="1:6" x14ac:dyDescent="0.2">
      <c r="A602" s="27"/>
      <c r="B602" s="27"/>
      <c r="C602" s="27"/>
      <c r="D602" s="35"/>
      <c r="E602" s="28"/>
      <c r="F602" s="28"/>
    </row>
    <row r="603" spans="1:6" x14ac:dyDescent="0.2">
      <c r="A603" s="27"/>
      <c r="B603" s="27"/>
      <c r="C603" s="27"/>
      <c r="D603" s="35"/>
      <c r="E603" s="28"/>
      <c r="F603" s="28"/>
    </row>
    <row r="604" spans="1:6" x14ac:dyDescent="0.2">
      <c r="A604" s="27"/>
      <c r="B604" s="27"/>
      <c r="C604" s="27"/>
      <c r="D604" s="35"/>
      <c r="E604" s="28"/>
      <c r="F604" s="28"/>
    </row>
    <row r="605" spans="1:6" x14ac:dyDescent="0.2">
      <c r="A605" s="27"/>
      <c r="B605" s="27"/>
      <c r="C605" s="27"/>
      <c r="D605" s="35"/>
      <c r="E605" s="28"/>
      <c r="F605" s="28"/>
    </row>
    <row r="606" spans="1:6" x14ac:dyDescent="0.2">
      <c r="A606" s="27"/>
      <c r="B606" s="27"/>
      <c r="C606" s="27"/>
      <c r="D606" s="35"/>
      <c r="E606" s="28"/>
      <c r="F606" s="28"/>
    </row>
    <row r="607" spans="1:6" x14ac:dyDescent="0.2">
      <c r="A607" s="27"/>
      <c r="B607" s="27"/>
      <c r="C607" s="27"/>
      <c r="D607" s="35"/>
      <c r="E607" s="28"/>
      <c r="F607" s="28"/>
    </row>
    <row r="608" spans="1:6" x14ac:dyDescent="0.2">
      <c r="A608" s="27"/>
      <c r="B608" s="27"/>
      <c r="C608" s="27"/>
      <c r="D608" s="35"/>
      <c r="E608" s="28"/>
      <c r="F608" s="28"/>
    </row>
    <row r="609" spans="1:6" x14ac:dyDescent="0.2">
      <c r="A609" s="27"/>
      <c r="B609" s="27"/>
      <c r="C609" s="27"/>
      <c r="D609" s="35"/>
      <c r="E609" s="28"/>
      <c r="F609" s="28"/>
    </row>
    <row r="610" spans="1:6" x14ac:dyDescent="0.2">
      <c r="A610" s="27"/>
      <c r="B610" s="27"/>
      <c r="C610" s="27"/>
      <c r="D610" s="35"/>
      <c r="E610" s="28"/>
      <c r="F610" s="28"/>
    </row>
    <row r="611" spans="1:6" x14ac:dyDescent="0.2">
      <c r="A611" s="27"/>
      <c r="B611" s="27"/>
      <c r="C611" s="27"/>
      <c r="D611" s="35"/>
      <c r="E611" s="28"/>
      <c r="F611" s="28"/>
    </row>
    <row r="612" spans="1:6" x14ac:dyDescent="0.2">
      <c r="A612" s="27"/>
      <c r="B612" s="27"/>
      <c r="C612" s="27"/>
      <c r="D612" s="35"/>
      <c r="E612" s="28"/>
      <c r="F612" s="28"/>
    </row>
    <row r="613" spans="1:6" x14ac:dyDescent="0.2">
      <c r="A613" s="27"/>
      <c r="B613" s="27"/>
      <c r="C613" s="27"/>
      <c r="D613" s="35"/>
      <c r="E613" s="28"/>
      <c r="F613" s="28"/>
    </row>
    <row r="614" spans="1:6" x14ac:dyDescent="0.2">
      <c r="A614" s="27"/>
      <c r="B614" s="27"/>
      <c r="C614" s="27"/>
      <c r="D614" s="35"/>
      <c r="E614" s="28"/>
      <c r="F614" s="28"/>
    </row>
    <row r="615" spans="1:6" x14ac:dyDescent="0.2">
      <c r="A615" s="27"/>
      <c r="B615" s="27"/>
      <c r="C615" s="27"/>
      <c r="D615" s="35"/>
      <c r="E615" s="28"/>
      <c r="F615" s="28"/>
    </row>
    <row r="616" spans="1:6" x14ac:dyDescent="0.2">
      <c r="A616" s="27"/>
      <c r="B616" s="27"/>
      <c r="C616" s="27"/>
      <c r="D616" s="35"/>
      <c r="E616" s="28"/>
      <c r="F616" s="28"/>
    </row>
    <row r="617" spans="1:6" x14ac:dyDescent="0.2">
      <c r="A617" s="27"/>
      <c r="B617" s="27"/>
      <c r="C617" s="27"/>
      <c r="D617" s="35"/>
      <c r="E617" s="28"/>
      <c r="F617" s="28"/>
    </row>
    <row r="618" spans="1:6" x14ac:dyDescent="0.2">
      <c r="A618" s="27"/>
      <c r="B618" s="27"/>
      <c r="C618" s="27"/>
      <c r="D618" s="35"/>
      <c r="E618" s="28"/>
      <c r="F618" s="28"/>
    </row>
    <row r="619" spans="1:6" x14ac:dyDescent="0.2">
      <c r="A619" s="27"/>
      <c r="B619" s="27"/>
      <c r="C619" s="27"/>
      <c r="D619" s="35"/>
      <c r="E619" s="28"/>
      <c r="F619" s="28"/>
    </row>
    <row r="620" spans="1:6" x14ac:dyDescent="0.2">
      <c r="A620" s="27"/>
      <c r="B620" s="27"/>
      <c r="C620" s="27"/>
      <c r="D620" s="35"/>
      <c r="E620" s="28"/>
      <c r="F620" s="28"/>
    </row>
    <row r="621" spans="1:6" x14ac:dyDescent="0.2">
      <c r="A621" s="27"/>
      <c r="B621" s="27"/>
      <c r="C621" s="27"/>
      <c r="D621" s="35"/>
      <c r="E621" s="28"/>
      <c r="F621" s="28"/>
    </row>
    <row r="622" spans="1:6" x14ac:dyDescent="0.2">
      <c r="A622" s="27"/>
      <c r="B622" s="27"/>
      <c r="C622" s="27"/>
      <c r="D622" s="35"/>
      <c r="E622" s="28"/>
      <c r="F622" s="28"/>
    </row>
    <row r="623" spans="1:6" x14ac:dyDescent="0.2">
      <c r="A623" s="27"/>
      <c r="B623" s="27"/>
      <c r="C623" s="27"/>
      <c r="D623" s="35"/>
      <c r="E623" s="28"/>
      <c r="F623" s="28"/>
    </row>
    <row r="624" spans="1:6" x14ac:dyDescent="0.2">
      <c r="A624" s="27"/>
      <c r="B624" s="27"/>
      <c r="C624" s="27"/>
      <c r="D624" s="35"/>
      <c r="E624" s="28"/>
      <c r="F624" s="28"/>
    </row>
    <row r="625" spans="1:6" x14ac:dyDescent="0.2">
      <c r="A625" s="27"/>
      <c r="B625" s="27"/>
      <c r="C625" s="27"/>
      <c r="D625" s="35"/>
      <c r="E625" s="28"/>
      <c r="F625" s="28"/>
    </row>
    <row r="626" spans="1:6" x14ac:dyDescent="0.2">
      <c r="A626" s="27"/>
      <c r="B626" s="27"/>
      <c r="C626" s="27"/>
      <c r="D626" s="35"/>
      <c r="E626" s="28"/>
      <c r="F626" s="28"/>
    </row>
    <row r="627" spans="1:6" x14ac:dyDescent="0.2">
      <c r="A627" s="27"/>
      <c r="B627" s="27"/>
      <c r="C627" s="27"/>
      <c r="D627" s="35"/>
      <c r="E627" s="28"/>
      <c r="F627" s="28"/>
    </row>
    <row r="628" spans="1:6" x14ac:dyDescent="0.2">
      <c r="A628" s="27"/>
      <c r="B628" s="27"/>
      <c r="C628" s="27"/>
      <c r="D628" s="35"/>
      <c r="E628" s="28"/>
      <c r="F628" s="28"/>
    </row>
    <row r="629" spans="1:6" x14ac:dyDescent="0.2">
      <c r="A629" s="27"/>
      <c r="B629" s="27"/>
      <c r="C629" s="27"/>
      <c r="D629" s="35"/>
      <c r="E629" s="28"/>
      <c r="F629" s="28"/>
    </row>
    <row r="630" spans="1:6" x14ac:dyDescent="0.2">
      <c r="A630" s="27"/>
      <c r="B630" s="27"/>
      <c r="C630" s="27"/>
      <c r="D630" s="35"/>
      <c r="E630" s="28"/>
      <c r="F630" s="28"/>
    </row>
    <row r="631" spans="1:6" x14ac:dyDescent="0.2">
      <c r="A631" s="27"/>
      <c r="B631" s="27"/>
      <c r="C631" s="27"/>
      <c r="D631" s="35"/>
      <c r="E631" s="28"/>
      <c r="F631" s="28"/>
    </row>
    <row r="632" spans="1:6" x14ac:dyDescent="0.2">
      <c r="A632" s="27"/>
      <c r="B632" s="27"/>
      <c r="C632" s="27"/>
      <c r="D632" s="35"/>
      <c r="E632" s="28"/>
      <c r="F632" s="28"/>
    </row>
    <row r="633" spans="1:6" x14ac:dyDescent="0.2">
      <c r="A633" s="27"/>
      <c r="B633" s="27"/>
      <c r="C633" s="27"/>
      <c r="D633" s="35"/>
      <c r="E633" s="28"/>
      <c r="F633" s="28"/>
    </row>
    <row r="634" spans="1:6" x14ac:dyDescent="0.2">
      <c r="A634" s="27"/>
      <c r="B634" s="27"/>
      <c r="C634" s="27"/>
      <c r="D634" s="35"/>
      <c r="E634" s="28"/>
      <c r="F634" s="28"/>
    </row>
    <row r="635" spans="1:6" x14ac:dyDescent="0.2">
      <c r="A635" s="27"/>
      <c r="B635" s="27"/>
      <c r="C635" s="27"/>
      <c r="D635" s="35"/>
      <c r="E635" s="28"/>
      <c r="F635" s="28"/>
    </row>
    <row r="636" spans="1:6" x14ac:dyDescent="0.2">
      <c r="A636" s="27"/>
      <c r="B636" s="27"/>
      <c r="C636" s="27"/>
      <c r="D636" s="35"/>
      <c r="E636" s="28"/>
      <c r="F636" s="28"/>
    </row>
    <row r="637" spans="1:6" x14ac:dyDescent="0.2">
      <c r="A637" s="27"/>
      <c r="B637" s="27"/>
      <c r="C637" s="27"/>
      <c r="D637" s="35"/>
      <c r="E637" s="28"/>
      <c r="F637" s="28"/>
    </row>
    <row r="638" spans="1:6" x14ac:dyDescent="0.2">
      <c r="A638" s="27"/>
      <c r="B638" s="27"/>
      <c r="C638" s="27"/>
      <c r="D638" s="35"/>
      <c r="E638" s="28"/>
      <c r="F638" s="28"/>
    </row>
    <row r="639" spans="1:6" x14ac:dyDescent="0.2">
      <c r="A639" s="27"/>
      <c r="B639" s="27"/>
      <c r="C639" s="27"/>
      <c r="D639" s="35"/>
      <c r="E639" s="28"/>
      <c r="F639" s="28"/>
    </row>
    <row r="640" spans="1:6" x14ac:dyDescent="0.2">
      <c r="A640" s="27"/>
      <c r="B640" s="27"/>
      <c r="C640" s="27"/>
      <c r="D640" s="35"/>
      <c r="E640" s="28"/>
      <c r="F640" s="28"/>
    </row>
    <row r="641" spans="1:6" x14ac:dyDescent="0.2">
      <c r="A641" s="27"/>
      <c r="B641" s="27"/>
      <c r="C641" s="27"/>
      <c r="D641" s="35"/>
      <c r="E641" s="28"/>
      <c r="F641" s="28"/>
    </row>
    <row r="642" spans="1:6" x14ac:dyDescent="0.2">
      <c r="A642" s="27"/>
      <c r="B642" s="27"/>
      <c r="C642" s="27"/>
      <c r="D642" s="35"/>
      <c r="E642" s="28"/>
      <c r="F642" s="28"/>
    </row>
    <row r="643" spans="1:6" x14ac:dyDescent="0.2">
      <c r="A643" s="27"/>
      <c r="B643" s="27"/>
      <c r="C643" s="27"/>
      <c r="D643" s="35"/>
      <c r="E643" s="28"/>
      <c r="F643" s="28"/>
    </row>
    <row r="644" spans="1:6" x14ac:dyDescent="0.2">
      <c r="A644" s="27"/>
      <c r="B644" s="27"/>
      <c r="C644" s="27"/>
      <c r="D644" s="35"/>
      <c r="E644" s="28"/>
      <c r="F644" s="28"/>
    </row>
    <row r="645" spans="1:6" x14ac:dyDescent="0.2">
      <c r="A645" s="27"/>
      <c r="B645" s="27"/>
      <c r="C645" s="27"/>
      <c r="D645" s="35"/>
      <c r="E645" s="28"/>
      <c r="F645" s="28"/>
    </row>
    <row r="646" spans="1:6" x14ac:dyDescent="0.2">
      <c r="A646" s="27"/>
      <c r="B646" s="27"/>
      <c r="C646" s="27"/>
      <c r="D646" s="35"/>
      <c r="E646" s="28"/>
      <c r="F646" s="28"/>
    </row>
    <row r="647" spans="1:6" x14ac:dyDescent="0.2">
      <c r="A647" s="27"/>
      <c r="B647" s="27"/>
      <c r="C647" s="27"/>
      <c r="D647" s="35"/>
      <c r="E647" s="28"/>
      <c r="F647" s="28"/>
    </row>
    <row r="648" spans="1:6" x14ac:dyDescent="0.2">
      <c r="A648" s="27"/>
      <c r="B648" s="27"/>
      <c r="C648" s="27"/>
      <c r="D648" s="35"/>
      <c r="E648" s="28"/>
      <c r="F648" s="28"/>
    </row>
    <row r="649" spans="1:6" x14ac:dyDescent="0.2">
      <c r="A649" s="27"/>
      <c r="B649" s="27"/>
      <c r="C649" s="27"/>
      <c r="D649" s="35"/>
      <c r="E649" s="28"/>
      <c r="F649" s="28"/>
    </row>
    <row r="650" spans="1:6" x14ac:dyDescent="0.2">
      <c r="A650" s="27"/>
      <c r="B650" s="27"/>
      <c r="C650" s="27"/>
      <c r="D650" s="35"/>
      <c r="E650" s="28"/>
      <c r="F650" s="28"/>
    </row>
    <row r="651" spans="1:6" x14ac:dyDescent="0.2">
      <c r="A651" s="27"/>
      <c r="B651" s="27"/>
      <c r="C651" s="27"/>
      <c r="D651" s="35"/>
      <c r="E651" s="28"/>
      <c r="F651" s="28"/>
    </row>
    <row r="652" spans="1:6" x14ac:dyDescent="0.2">
      <c r="A652" s="27"/>
      <c r="B652" s="27"/>
      <c r="C652" s="27"/>
      <c r="D652" s="35"/>
      <c r="E652" s="28"/>
      <c r="F652" s="28"/>
    </row>
    <row r="653" spans="1:6" x14ac:dyDescent="0.2">
      <c r="A653" s="27"/>
      <c r="B653" s="27"/>
      <c r="C653" s="27"/>
      <c r="D653" s="35"/>
      <c r="E653" s="28"/>
      <c r="F653" s="28"/>
    </row>
    <row r="654" spans="1:6" x14ac:dyDescent="0.2">
      <c r="A654" s="27"/>
      <c r="B654" s="27"/>
      <c r="C654" s="27"/>
      <c r="D654" s="35"/>
      <c r="E654" s="28"/>
      <c r="F654" s="28"/>
    </row>
    <row r="655" spans="1:6" x14ac:dyDescent="0.2">
      <c r="A655" s="27"/>
      <c r="B655" s="27"/>
      <c r="C655" s="27"/>
      <c r="D655" s="35"/>
      <c r="E655" s="28"/>
      <c r="F655" s="28"/>
    </row>
    <row r="656" spans="1:6" x14ac:dyDescent="0.2">
      <c r="A656" s="27"/>
      <c r="B656" s="27"/>
      <c r="C656" s="27"/>
      <c r="D656" s="35"/>
      <c r="E656" s="28"/>
      <c r="F656" s="28"/>
    </row>
    <row r="657" spans="1:6" x14ac:dyDescent="0.2">
      <c r="A657" s="27"/>
      <c r="B657" s="27"/>
      <c r="C657" s="27"/>
      <c r="D657" s="35"/>
      <c r="E657" s="28"/>
      <c r="F657" s="28"/>
    </row>
    <row r="658" spans="1:6" x14ac:dyDescent="0.2">
      <c r="A658" s="27"/>
      <c r="B658" s="27"/>
      <c r="C658" s="27"/>
      <c r="D658" s="35"/>
      <c r="E658" s="28"/>
      <c r="F658" s="28"/>
    </row>
    <row r="659" spans="1:6" x14ac:dyDescent="0.2">
      <c r="A659" s="27"/>
      <c r="B659" s="27"/>
      <c r="C659" s="27"/>
      <c r="D659" s="35"/>
      <c r="E659" s="28"/>
      <c r="F659" s="28"/>
    </row>
    <row r="660" spans="1:6" x14ac:dyDescent="0.2">
      <c r="A660" s="27"/>
      <c r="B660" s="27"/>
      <c r="C660" s="27"/>
      <c r="D660" s="35"/>
      <c r="E660" s="28"/>
      <c r="F660" s="28"/>
    </row>
    <row r="661" spans="1:6" x14ac:dyDescent="0.2">
      <c r="A661" s="27"/>
      <c r="B661" s="27"/>
      <c r="C661" s="27"/>
      <c r="D661" s="35"/>
      <c r="E661" s="28"/>
      <c r="F661" s="28"/>
    </row>
    <row r="662" spans="1:6" x14ac:dyDescent="0.2">
      <c r="A662" s="27"/>
      <c r="B662" s="27"/>
      <c r="C662" s="27"/>
      <c r="D662" s="35"/>
      <c r="E662" s="28"/>
      <c r="F662" s="28"/>
    </row>
    <row r="663" spans="1:6" x14ac:dyDescent="0.2">
      <c r="A663" s="27"/>
      <c r="B663" s="27"/>
      <c r="C663" s="27"/>
      <c r="D663" s="35"/>
      <c r="E663" s="28"/>
      <c r="F663" s="28"/>
    </row>
    <row r="664" spans="1:6" x14ac:dyDescent="0.2">
      <c r="A664" s="27"/>
      <c r="B664" s="27"/>
      <c r="C664" s="27"/>
      <c r="D664" s="35"/>
      <c r="E664" s="28"/>
      <c r="F664" s="28"/>
    </row>
    <row r="665" spans="1:6" x14ac:dyDescent="0.2">
      <c r="A665" s="27"/>
      <c r="B665" s="27"/>
      <c r="C665" s="27"/>
      <c r="D665" s="35"/>
      <c r="E665" s="28"/>
      <c r="F665" s="28"/>
    </row>
    <row r="666" spans="1:6" x14ac:dyDescent="0.2">
      <c r="A666" s="27"/>
      <c r="B666" s="27"/>
      <c r="C666" s="27"/>
      <c r="D666" s="35"/>
      <c r="E666" s="28"/>
      <c r="F666" s="28"/>
    </row>
    <row r="667" spans="1:6" x14ac:dyDescent="0.2">
      <c r="A667" s="27"/>
      <c r="B667" s="27"/>
      <c r="C667" s="27"/>
      <c r="D667" s="35"/>
      <c r="E667" s="28"/>
      <c r="F667" s="28"/>
    </row>
    <row r="668" spans="1:6" x14ac:dyDescent="0.2">
      <c r="A668" s="27"/>
      <c r="B668" s="27"/>
      <c r="C668" s="27"/>
      <c r="D668" s="35"/>
      <c r="E668" s="28"/>
      <c r="F668" s="28"/>
    </row>
    <row r="669" spans="1:6" x14ac:dyDescent="0.2">
      <c r="A669" s="27"/>
      <c r="B669" s="27"/>
      <c r="C669" s="27"/>
      <c r="D669" s="35"/>
      <c r="E669" s="28"/>
      <c r="F669" s="28"/>
    </row>
    <row r="670" spans="1:6" x14ac:dyDescent="0.2">
      <c r="A670" s="27"/>
      <c r="B670" s="27"/>
      <c r="C670" s="27"/>
      <c r="D670" s="35"/>
      <c r="E670" s="28"/>
      <c r="F670" s="28"/>
    </row>
    <row r="671" spans="1:6" x14ac:dyDescent="0.2">
      <c r="A671" s="27"/>
      <c r="B671" s="27"/>
      <c r="C671" s="27"/>
      <c r="D671" s="35"/>
      <c r="E671" s="28"/>
      <c r="F671" s="28"/>
    </row>
    <row r="672" spans="1:6" x14ac:dyDescent="0.2">
      <c r="A672" s="27"/>
      <c r="B672" s="27"/>
      <c r="C672" s="27"/>
      <c r="D672" s="35"/>
      <c r="E672" s="28"/>
      <c r="F672" s="28"/>
    </row>
    <row r="673" spans="1:6" x14ac:dyDescent="0.2">
      <c r="A673" s="27"/>
      <c r="B673" s="27"/>
      <c r="C673" s="27"/>
      <c r="D673" s="35"/>
      <c r="E673" s="28"/>
      <c r="F673" s="28"/>
    </row>
    <row r="674" spans="1:6" x14ac:dyDescent="0.2">
      <c r="A674" s="27"/>
      <c r="B674" s="27"/>
      <c r="C674" s="27"/>
      <c r="D674" s="35"/>
      <c r="E674" s="28"/>
      <c r="F674" s="28"/>
    </row>
    <row r="675" spans="1:6" x14ac:dyDescent="0.2">
      <c r="A675" s="27"/>
      <c r="B675" s="27"/>
      <c r="C675" s="27"/>
      <c r="D675" s="35"/>
      <c r="E675" s="28"/>
      <c r="F675" s="28"/>
    </row>
    <row r="676" spans="1:6" x14ac:dyDescent="0.2">
      <c r="A676" s="27"/>
      <c r="B676" s="27"/>
      <c r="C676" s="27"/>
      <c r="D676" s="35"/>
      <c r="E676" s="28"/>
      <c r="F676" s="28"/>
    </row>
    <row r="677" spans="1:6" x14ac:dyDescent="0.2">
      <c r="A677" s="27"/>
      <c r="B677" s="27"/>
      <c r="C677" s="27"/>
      <c r="D677" s="35"/>
      <c r="E677" s="28"/>
      <c r="F677" s="28"/>
    </row>
    <row r="678" spans="1:6" x14ac:dyDescent="0.2">
      <c r="A678" s="27"/>
      <c r="B678" s="27"/>
      <c r="C678" s="27"/>
      <c r="D678" s="35"/>
      <c r="E678" s="28"/>
      <c r="F678" s="28"/>
    </row>
    <row r="679" spans="1:6" x14ac:dyDescent="0.2">
      <c r="A679" s="27"/>
      <c r="B679" s="27"/>
      <c r="C679" s="27"/>
      <c r="D679" s="35"/>
      <c r="E679" s="28"/>
      <c r="F679" s="28"/>
    </row>
    <row r="680" spans="1:6" x14ac:dyDescent="0.2">
      <c r="A680" s="27"/>
      <c r="B680" s="27"/>
      <c r="C680" s="27"/>
      <c r="D680" s="35"/>
      <c r="E680" s="28"/>
      <c r="F680" s="28"/>
    </row>
    <row r="681" spans="1:6" x14ac:dyDescent="0.2">
      <c r="A681" s="27"/>
      <c r="B681" s="27"/>
      <c r="C681" s="27"/>
      <c r="D681" s="35"/>
      <c r="E681" s="28"/>
      <c r="F681" s="28"/>
    </row>
    <row r="682" spans="1:6" x14ac:dyDescent="0.2">
      <c r="A682" s="27"/>
      <c r="B682" s="27"/>
      <c r="C682" s="27"/>
      <c r="D682" s="35"/>
      <c r="E682" s="28"/>
      <c r="F682" s="28"/>
    </row>
    <row r="683" spans="1:6" x14ac:dyDescent="0.2">
      <c r="A683" s="27"/>
      <c r="B683" s="27"/>
      <c r="C683" s="27"/>
      <c r="D683" s="35"/>
      <c r="E683" s="28"/>
      <c r="F683" s="28"/>
    </row>
    <row r="684" spans="1:6" x14ac:dyDescent="0.2">
      <c r="A684" s="27"/>
      <c r="B684" s="27"/>
      <c r="C684" s="27"/>
      <c r="D684" s="35"/>
      <c r="E684" s="28"/>
      <c r="F684" s="28"/>
    </row>
    <row r="685" spans="1:6" x14ac:dyDescent="0.2">
      <c r="A685" s="27"/>
      <c r="B685" s="27"/>
      <c r="C685" s="27"/>
      <c r="D685" s="35"/>
      <c r="E685" s="28"/>
      <c r="F685" s="28"/>
    </row>
    <row r="686" spans="1:6" x14ac:dyDescent="0.2">
      <c r="A686" s="27"/>
      <c r="B686" s="27"/>
      <c r="C686" s="27"/>
      <c r="D686" s="35"/>
      <c r="E686" s="28"/>
      <c r="F686" s="28"/>
    </row>
    <row r="687" spans="1:6" x14ac:dyDescent="0.2">
      <c r="A687" s="27"/>
      <c r="B687" s="27"/>
      <c r="C687" s="27"/>
      <c r="D687" s="35"/>
      <c r="E687" s="28"/>
      <c r="F687" s="28"/>
    </row>
    <row r="688" spans="1:6" x14ac:dyDescent="0.2">
      <c r="A688" s="27"/>
      <c r="B688" s="27"/>
      <c r="C688" s="27"/>
      <c r="D688" s="35"/>
      <c r="E688" s="28"/>
      <c r="F688" s="28"/>
    </row>
    <row r="689" spans="1:6" x14ac:dyDescent="0.2">
      <c r="A689" s="27"/>
      <c r="B689" s="27"/>
      <c r="C689" s="27"/>
      <c r="D689" s="35"/>
      <c r="E689" s="28"/>
      <c r="F689" s="28"/>
    </row>
    <row r="690" spans="1:6" x14ac:dyDescent="0.2">
      <c r="A690" s="27"/>
      <c r="B690" s="27"/>
      <c r="C690" s="27"/>
      <c r="D690" s="35"/>
      <c r="E690" s="28"/>
      <c r="F690" s="28"/>
    </row>
    <row r="691" spans="1:6" x14ac:dyDescent="0.2">
      <c r="A691" s="27"/>
      <c r="B691" s="27"/>
      <c r="C691" s="27"/>
      <c r="D691" s="35"/>
      <c r="E691" s="28"/>
      <c r="F691" s="28"/>
    </row>
    <row r="692" spans="1:6" x14ac:dyDescent="0.2">
      <c r="A692" s="27"/>
      <c r="B692" s="27"/>
      <c r="C692" s="27"/>
      <c r="D692" s="35"/>
      <c r="E692" s="28"/>
      <c r="F692" s="28"/>
    </row>
    <row r="693" spans="1:6" x14ac:dyDescent="0.2">
      <c r="A693" s="27"/>
      <c r="B693" s="27"/>
      <c r="C693" s="27"/>
      <c r="D693" s="35"/>
      <c r="E693" s="28"/>
      <c r="F693" s="28"/>
    </row>
    <row r="694" spans="1:6" x14ac:dyDescent="0.2">
      <c r="A694" s="27"/>
      <c r="B694" s="27"/>
      <c r="C694" s="27"/>
      <c r="D694" s="35"/>
      <c r="E694" s="28"/>
      <c r="F694" s="28"/>
    </row>
    <row r="695" spans="1:6" x14ac:dyDescent="0.2">
      <c r="A695" s="27"/>
      <c r="B695" s="27"/>
      <c r="C695" s="27"/>
      <c r="D695" s="35"/>
      <c r="E695" s="28"/>
      <c r="F695" s="28"/>
    </row>
    <row r="696" spans="1:6" x14ac:dyDescent="0.2">
      <c r="A696" s="27"/>
      <c r="B696" s="27"/>
      <c r="C696" s="27"/>
      <c r="D696" s="35"/>
      <c r="E696" s="28"/>
      <c r="F696" s="28"/>
    </row>
    <row r="697" spans="1:6" x14ac:dyDescent="0.2">
      <c r="A697" s="27"/>
      <c r="B697" s="27"/>
      <c r="C697" s="27"/>
      <c r="D697" s="35"/>
      <c r="E697" s="28"/>
      <c r="F697" s="28"/>
    </row>
    <row r="698" spans="1:6" x14ac:dyDescent="0.2">
      <c r="A698" s="27"/>
      <c r="B698" s="27"/>
      <c r="C698" s="27"/>
      <c r="D698" s="35"/>
      <c r="E698" s="28"/>
      <c r="F698" s="28"/>
    </row>
    <row r="699" spans="1:6" x14ac:dyDescent="0.2">
      <c r="A699" s="27"/>
      <c r="B699" s="27"/>
      <c r="C699" s="27"/>
      <c r="D699" s="35"/>
      <c r="E699" s="28"/>
      <c r="F699" s="28"/>
    </row>
    <row r="700" spans="1:6" x14ac:dyDescent="0.2">
      <c r="A700" s="27"/>
      <c r="B700" s="27"/>
      <c r="C700" s="27"/>
      <c r="D700" s="35"/>
      <c r="E700" s="28"/>
      <c r="F700" s="28"/>
    </row>
    <row r="701" spans="1:6" x14ac:dyDescent="0.2">
      <c r="A701" s="27"/>
      <c r="B701" s="27"/>
      <c r="C701" s="27"/>
      <c r="D701" s="35"/>
      <c r="E701" s="28"/>
      <c r="F701" s="28"/>
    </row>
    <row r="702" spans="1:6" x14ac:dyDescent="0.2">
      <c r="A702" s="27"/>
      <c r="B702" s="27"/>
      <c r="C702" s="27"/>
      <c r="D702" s="35"/>
      <c r="E702" s="28"/>
      <c r="F702" s="28"/>
    </row>
    <row r="703" spans="1:6" x14ac:dyDescent="0.2">
      <c r="A703" s="27"/>
      <c r="B703" s="27"/>
      <c r="C703" s="27"/>
      <c r="D703" s="35"/>
      <c r="E703" s="28"/>
      <c r="F703" s="28"/>
    </row>
    <row r="704" spans="1:6" x14ac:dyDescent="0.2">
      <c r="A704" s="27"/>
      <c r="B704" s="27"/>
      <c r="C704" s="27"/>
      <c r="D704" s="35"/>
      <c r="E704" s="28"/>
      <c r="F704" s="28"/>
    </row>
    <row r="705" spans="1:6" x14ac:dyDescent="0.2">
      <c r="A705" s="27"/>
      <c r="B705" s="27"/>
      <c r="C705" s="27"/>
      <c r="D705" s="35"/>
      <c r="E705" s="28"/>
      <c r="F705" s="28"/>
    </row>
    <row r="706" spans="1:6" x14ac:dyDescent="0.2">
      <c r="A706" s="27"/>
      <c r="B706" s="27"/>
      <c r="C706" s="27"/>
      <c r="D706" s="35"/>
      <c r="E706" s="28"/>
      <c r="F706" s="28"/>
    </row>
    <row r="707" spans="1:6" x14ac:dyDescent="0.2">
      <c r="A707" s="27"/>
      <c r="B707" s="27"/>
      <c r="C707" s="27"/>
      <c r="D707" s="35"/>
      <c r="E707" s="28"/>
      <c r="F707" s="28"/>
    </row>
    <row r="708" spans="1:6" x14ac:dyDescent="0.2">
      <c r="A708" s="27"/>
      <c r="B708" s="27"/>
      <c r="C708" s="27"/>
      <c r="D708" s="35"/>
      <c r="E708" s="28"/>
      <c r="F708" s="28"/>
    </row>
    <row r="709" spans="1:6" x14ac:dyDescent="0.2">
      <c r="A709" s="27"/>
      <c r="B709" s="27"/>
      <c r="C709" s="27"/>
      <c r="D709" s="35"/>
      <c r="E709" s="28"/>
      <c r="F709" s="28"/>
    </row>
    <row r="710" spans="1:6" x14ac:dyDescent="0.2">
      <c r="A710" s="27"/>
      <c r="B710" s="27"/>
      <c r="C710" s="27"/>
      <c r="D710" s="35"/>
      <c r="E710" s="28"/>
      <c r="F710" s="28"/>
    </row>
    <row r="711" spans="1:6" x14ac:dyDescent="0.2">
      <c r="A711" s="27"/>
      <c r="B711" s="27"/>
      <c r="C711" s="27"/>
      <c r="D711" s="35"/>
      <c r="E711" s="28"/>
      <c r="F711" s="28"/>
    </row>
    <row r="712" spans="1:6" x14ac:dyDescent="0.2">
      <c r="A712" s="27"/>
      <c r="B712" s="27"/>
      <c r="C712" s="27"/>
      <c r="D712" s="35"/>
      <c r="E712" s="28"/>
      <c r="F712" s="28"/>
    </row>
    <row r="713" spans="1:6" x14ac:dyDescent="0.2">
      <c r="A713" s="27"/>
      <c r="B713" s="27"/>
      <c r="C713" s="27"/>
      <c r="D713" s="35"/>
      <c r="E713" s="28"/>
      <c r="F713" s="28"/>
    </row>
    <row r="714" spans="1:6" x14ac:dyDescent="0.2">
      <c r="A714" s="27"/>
      <c r="B714" s="27"/>
      <c r="C714" s="27"/>
      <c r="D714" s="35"/>
      <c r="E714" s="28"/>
      <c r="F714" s="28"/>
    </row>
    <row r="715" spans="1:6" x14ac:dyDescent="0.2">
      <c r="A715" s="27"/>
      <c r="B715" s="27"/>
      <c r="C715" s="27"/>
      <c r="D715" s="35"/>
      <c r="E715" s="28"/>
      <c r="F715" s="28"/>
    </row>
    <row r="716" spans="1:6" x14ac:dyDescent="0.2">
      <c r="A716" s="27"/>
      <c r="B716" s="27"/>
      <c r="C716" s="27"/>
      <c r="D716" s="35"/>
      <c r="E716" s="28"/>
      <c r="F716" s="28"/>
    </row>
    <row r="717" spans="1:6" x14ac:dyDescent="0.2">
      <c r="A717" s="27"/>
      <c r="B717" s="27"/>
      <c r="C717" s="27"/>
      <c r="D717" s="35"/>
      <c r="E717" s="28"/>
      <c r="F717" s="28"/>
    </row>
    <row r="718" spans="1:6" x14ac:dyDescent="0.2">
      <c r="A718" s="27"/>
      <c r="B718" s="27"/>
      <c r="C718" s="27"/>
      <c r="D718" s="35"/>
      <c r="E718" s="28"/>
      <c r="F718" s="28"/>
    </row>
    <row r="719" spans="1:6" x14ac:dyDescent="0.2">
      <c r="A719" s="27"/>
      <c r="B719" s="27"/>
      <c r="C719" s="27"/>
      <c r="D719" s="35"/>
      <c r="E719" s="28"/>
      <c r="F719" s="28"/>
    </row>
    <row r="720" spans="1:6" x14ac:dyDescent="0.2">
      <c r="A720" s="27"/>
      <c r="B720" s="27"/>
      <c r="C720" s="27"/>
      <c r="D720" s="35"/>
      <c r="E720" s="28"/>
      <c r="F720" s="28"/>
    </row>
    <row r="721" spans="1:6" x14ac:dyDescent="0.2">
      <c r="A721" s="27"/>
      <c r="B721" s="27"/>
      <c r="C721" s="27"/>
      <c r="D721" s="35"/>
      <c r="E721" s="28"/>
      <c r="F721" s="28"/>
    </row>
    <row r="722" spans="1:6" x14ac:dyDescent="0.2">
      <c r="A722" s="27"/>
      <c r="B722" s="27"/>
      <c r="C722" s="27"/>
      <c r="D722" s="35"/>
      <c r="E722" s="28"/>
      <c r="F722" s="28"/>
    </row>
    <row r="723" spans="1:6" x14ac:dyDescent="0.2">
      <c r="A723" s="27"/>
      <c r="B723" s="27"/>
      <c r="C723" s="27"/>
      <c r="D723" s="35"/>
      <c r="E723" s="28"/>
      <c r="F723" s="28"/>
    </row>
    <row r="724" spans="1:6" x14ac:dyDescent="0.2">
      <c r="A724" s="27"/>
      <c r="B724" s="27"/>
      <c r="C724" s="27"/>
      <c r="D724" s="35"/>
      <c r="E724" s="28"/>
      <c r="F724" s="28"/>
    </row>
    <row r="725" spans="1:6" x14ac:dyDescent="0.2">
      <c r="A725" s="27"/>
      <c r="B725" s="27"/>
      <c r="C725" s="27"/>
      <c r="D725" s="35"/>
      <c r="E725" s="28"/>
      <c r="F725" s="28"/>
    </row>
    <row r="726" spans="1:6" x14ac:dyDescent="0.2">
      <c r="A726" s="27"/>
      <c r="B726" s="27"/>
      <c r="C726" s="27"/>
      <c r="D726" s="35"/>
      <c r="E726" s="28"/>
      <c r="F726" s="28"/>
    </row>
    <row r="727" spans="1:6" x14ac:dyDescent="0.2">
      <c r="A727" s="27"/>
      <c r="B727" s="27"/>
      <c r="C727" s="27"/>
      <c r="D727" s="35"/>
      <c r="E727" s="28"/>
      <c r="F727" s="28"/>
    </row>
    <row r="728" spans="1:6" x14ac:dyDescent="0.2">
      <c r="A728" s="27"/>
      <c r="B728" s="27"/>
      <c r="C728" s="27"/>
      <c r="D728" s="35"/>
      <c r="E728" s="28"/>
      <c r="F728" s="28"/>
    </row>
    <row r="729" spans="1:6" x14ac:dyDescent="0.2">
      <c r="A729" s="27"/>
      <c r="B729" s="27"/>
      <c r="C729" s="27"/>
      <c r="D729" s="35"/>
      <c r="E729" s="28"/>
      <c r="F729" s="28"/>
    </row>
    <row r="730" spans="1:6" x14ac:dyDescent="0.2">
      <c r="A730" s="27"/>
      <c r="B730" s="27"/>
      <c r="C730" s="27"/>
      <c r="D730" s="35"/>
      <c r="E730" s="28"/>
      <c r="F730" s="28"/>
    </row>
    <row r="731" spans="1:6" x14ac:dyDescent="0.2">
      <c r="A731" s="27"/>
      <c r="B731" s="27"/>
      <c r="C731" s="27"/>
      <c r="D731" s="35"/>
      <c r="E731" s="28"/>
      <c r="F731" s="28"/>
    </row>
    <row r="732" spans="1:6" x14ac:dyDescent="0.2">
      <c r="A732" s="27"/>
      <c r="B732" s="27"/>
      <c r="C732" s="27"/>
      <c r="D732" s="35"/>
      <c r="E732" s="28"/>
      <c r="F732" s="28"/>
    </row>
    <row r="733" spans="1:6" x14ac:dyDescent="0.2">
      <c r="A733" s="27"/>
      <c r="B733" s="27"/>
      <c r="C733" s="27"/>
      <c r="D733" s="35"/>
      <c r="E733" s="28"/>
      <c r="F733" s="28"/>
    </row>
    <row r="734" spans="1:6" x14ac:dyDescent="0.2">
      <c r="A734" s="27"/>
      <c r="B734" s="27"/>
      <c r="C734" s="27"/>
      <c r="D734" s="35"/>
      <c r="E734" s="28"/>
      <c r="F734" s="28"/>
    </row>
    <row r="735" spans="1:6" x14ac:dyDescent="0.2">
      <c r="A735" s="27"/>
      <c r="B735" s="27"/>
      <c r="C735" s="27"/>
      <c r="D735" s="35"/>
      <c r="E735" s="28"/>
      <c r="F735" s="28"/>
    </row>
    <row r="736" spans="1:6" x14ac:dyDescent="0.2">
      <c r="A736" s="27"/>
      <c r="B736" s="27"/>
      <c r="C736" s="27"/>
      <c r="D736" s="35"/>
      <c r="E736" s="28"/>
      <c r="F736" s="28"/>
    </row>
    <row r="737" spans="1:6" x14ac:dyDescent="0.2">
      <c r="A737" s="27"/>
      <c r="B737" s="27"/>
      <c r="C737" s="27"/>
      <c r="D737" s="35"/>
      <c r="E737" s="28"/>
      <c r="F737" s="28"/>
    </row>
    <row r="738" spans="1:6" x14ac:dyDescent="0.2">
      <c r="A738" s="27"/>
      <c r="B738" s="27"/>
      <c r="C738" s="27"/>
      <c r="D738" s="35"/>
      <c r="E738" s="28"/>
      <c r="F738" s="28"/>
    </row>
    <row r="739" spans="1:6" x14ac:dyDescent="0.2">
      <c r="A739" s="27"/>
      <c r="B739" s="27"/>
      <c r="C739" s="27"/>
      <c r="D739" s="35"/>
      <c r="E739" s="28"/>
      <c r="F739" s="28"/>
    </row>
    <row r="740" spans="1:6" x14ac:dyDescent="0.2">
      <c r="A740" s="27"/>
      <c r="B740" s="27"/>
      <c r="C740" s="27"/>
      <c r="D740" s="35"/>
      <c r="E740" s="28"/>
      <c r="F740" s="28"/>
    </row>
    <row r="741" spans="1:6" x14ac:dyDescent="0.2">
      <c r="A741" s="27"/>
      <c r="B741" s="27"/>
      <c r="C741" s="27"/>
      <c r="D741" s="35"/>
      <c r="E741" s="28"/>
      <c r="F741" s="28"/>
    </row>
    <row r="742" spans="1:6" x14ac:dyDescent="0.2">
      <c r="A742" s="27"/>
      <c r="B742" s="27"/>
      <c r="C742" s="27"/>
      <c r="D742" s="35"/>
      <c r="E742" s="28"/>
      <c r="F742" s="28"/>
    </row>
    <row r="743" spans="1:6" x14ac:dyDescent="0.2">
      <c r="A743" s="27"/>
      <c r="B743" s="27"/>
      <c r="C743" s="27"/>
      <c r="D743" s="35"/>
      <c r="E743" s="28"/>
      <c r="F743" s="28"/>
    </row>
    <row r="744" spans="1:6" x14ac:dyDescent="0.2">
      <c r="A744" s="27"/>
      <c r="B744" s="27"/>
      <c r="C744" s="27"/>
      <c r="D744" s="35"/>
      <c r="E744" s="28"/>
      <c r="F744" s="28"/>
    </row>
    <row r="745" spans="1:6" x14ac:dyDescent="0.2">
      <c r="A745" s="27"/>
      <c r="B745" s="27"/>
      <c r="C745" s="27"/>
      <c r="D745" s="35"/>
      <c r="E745" s="28"/>
      <c r="F745" s="28"/>
    </row>
    <row r="746" spans="1:6" x14ac:dyDescent="0.2">
      <c r="A746" s="27"/>
      <c r="B746" s="27"/>
      <c r="C746" s="27"/>
      <c r="D746" s="35"/>
      <c r="E746" s="28"/>
      <c r="F746" s="28"/>
    </row>
    <row r="747" spans="1:6" x14ac:dyDescent="0.2">
      <c r="A747" s="27"/>
      <c r="B747" s="27"/>
      <c r="C747" s="27"/>
      <c r="D747" s="35"/>
      <c r="E747" s="28"/>
      <c r="F747" s="28"/>
    </row>
    <row r="748" spans="1:6" x14ac:dyDescent="0.2">
      <c r="A748" s="27"/>
      <c r="B748" s="27"/>
      <c r="C748" s="27"/>
      <c r="D748" s="35"/>
      <c r="E748" s="28"/>
      <c r="F748" s="28"/>
    </row>
    <row r="749" spans="1:6" x14ac:dyDescent="0.2">
      <c r="A749" s="27"/>
      <c r="B749" s="27"/>
      <c r="C749" s="27"/>
      <c r="D749" s="35"/>
      <c r="E749" s="28"/>
      <c r="F749" s="28"/>
    </row>
    <row r="750" spans="1:6" x14ac:dyDescent="0.2">
      <c r="A750" s="27"/>
      <c r="B750" s="27"/>
      <c r="C750" s="27"/>
      <c r="D750" s="35"/>
      <c r="E750" s="28"/>
      <c r="F750" s="28"/>
    </row>
    <row r="751" spans="1:6" x14ac:dyDescent="0.2">
      <c r="A751" s="27"/>
      <c r="B751" s="27"/>
      <c r="C751" s="27"/>
      <c r="D751" s="35"/>
      <c r="E751" s="28"/>
      <c r="F751" s="28"/>
    </row>
    <row r="752" spans="1:6" x14ac:dyDescent="0.2">
      <c r="A752" s="27"/>
      <c r="B752" s="27"/>
      <c r="C752" s="27"/>
      <c r="D752" s="35"/>
      <c r="E752" s="28"/>
      <c r="F752" s="28"/>
    </row>
    <row r="753" spans="1:6" x14ac:dyDescent="0.2">
      <c r="A753" s="27"/>
      <c r="B753" s="27"/>
      <c r="C753" s="27"/>
      <c r="D753" s="35"/>
      <c r="E753" s="28"/>
      <c r="F753" s="28"/>
    </row>
    <row r="754" spans="1:6" x14ac:dyDescent="0.2">
      <c r="A754" s="27"/>
      <c r="B754" s="27"/>
      <c r="C754" s="27"/>
      <c r="D754" s="35"/>
      <c r="E754" s="28"/>
      <c r="F754" s="28"/>
    </row>
    <row r="755" spans="1:6" x14ac:dyDescent="0.2">
      <c r="A755" s="27"/>
      <c r="B755" s="27"/>
      <c r="C755" s="27"/>
      <c r="D755" s="35"/>
      <c r="E755" s="28"/>
      <c r="F755" s="28"/>
    </row>
    <row r="756" spans="1:6" x14ac:dyDescent="0.2">
      <c r="A756" s="27"/>
      <c r="B756" s="27"/>
      <c r="C756" s="27"/>
      <c r="D756" s="35"/>
      <c r="E756" s="28"/>
      <c r="F756" s="28"/>
    </row>
    <row r="757" spans="1:6" x14ac:dyDescent="0.2">
      <c r="A757" s="27"/>
      <c r="B757" s="27"/>
      <c r="C757" s="27"/>
      <c r="D757" s="35"/>
      <c r="E757" s="28"/>
      <c r="F757" s="28"/>
    </row>
    <row r="758" spans="1:6" x14ac:dyDescent="0.2">
      <c r="A758" s="27"/>
      <c r="B758" s="27"/>
      <c r="C758" s="27"/>
      <c r="D758" s="35"/>
      <c r="E758" s="28"/>
      <c r="F758" s="28"/>
    </row>
    <row r="759" spans="1:6" x14ac:dyDescent="0.2">
      <c r="A759" s="27"/>
      <c r="B759" s="27"/>
      <c r="C759" s="27"/>
      <c r="D759" s="35"/>
      <c r="E759" s="28"/>
      <c r="F759" s="28"/>
    </row>
    <row r="760" spans="1:6" x14ac:dyDescent="0.2">
      <c r="A760" s="27"/>
      <c r="B760" s="27"/>
      <c r="C760" s="27"/>
      <c r="D760" s="35"/>
      <c r="E760" s="28"/>
      <c r="F760" s="28"/>
    </row>
    <row r="761" spans="1:6" x14ac:dyDescent="0.2">
      <c r="A761" s="27"/>
      <c r="B761" s="27"/>
      <c r="C761" s="27"/>
      <c r="D761" s="35"/>
      <c r="E761" s="28"/>
      <c r="F761" s="28"/>
    </row>
    <row r="762" spans="1:6" x14ac:dyDescent="0.2">
      <c r="A762" s="27"/>
      <c r="B762" s="27"/>
      <c r="C762" s="27"/>
      <c r="D762" s="35"/>
      <c r="E762" s="28"/>
      <c r="F762" s="28"/>
    </row>
    <row r="763" spans="1:6" x14ac:dyDescent="0.2">
      <c r="A763" s="27"/>
      <c r="B763" s="27"/>
      <c r="C763" s="27"/>
      <c r="D763" s="35"/>
      <c r="E763" s="28"/>
      <c r="F763" s="28"/>
    </row>
    <row r="764" spans="1:6" x14ac:dyDescent="0.2">
      <c r="A764" s="27"/>
      <c r="B764" s="27"/>
      <c r="C764" s="27"/>
      <c r="D764" s="35"/>
      <c r="E764" s="28"/>
      <c r="F764" s="28"/>
    </row>
    <row r="765" spans="1:6" x14ac:dyDescent="0.2">
      <c r="A765" s="27"/>
      <c r="B765" s="27"/>
      <c r="C765" s="27"/>
      <c r="D765" s="35"/>
      <c r="E765" s="28"/>
      <c r="F765" s="28"/>
    </row>
    <row r="766" spans="1:6" x14ac:dyDescent="0.2">
      <c r="A766" s="27"/>
      <c r="B766" s="27"/>
      <c r="C766" s="27"/>
      <c r="D766" s="35"/>
      <c r="E766" s="28"/>
      <c r="F766" s="28"/>
    </row>
    <row r="767" spans="1:6" x14ac:dyDescent="0.2">
      <c r="A767" s="27"/>
      <c r="B767" s="27"/>
      <c r="C767" s="27"/>
      <c r="D767" s="35"/>
      <c r="E767" s="28"/>
      <c r="F767" s="28"/>
    </row>
    <row r="768" spans="1:6" x14ac:dyDescent="0.2">
      <c r="A768" s="27"/>
      <c r="B768" s="27"/>
      <c r="C768" s="27"/>
      <c r="D768" s="35"/>
      <c r="E768" s="28"/>
      <c r="F768" s="28"/>
    </row>
    <row r="769" spans="1:6" x14ac:dyDescent="0.2">
      <c r="A769" s="27"/>
      <c r="B769" s="27"/>
      <c r="C769" s="27"/>
      <c r="D769" s="35"/>
      <c r="E769" s="28"/>
      <c r="F769" s="28"/>
    </row>
    <row r="770" spans="1:6" x14ac:dyDescent="0.2">
      <c r="A770" s="27"/>
      <c r="B770" s="27"/>
      <c r="C770" s="27"/>
      <c r="D770" s="35"/>
      <c r="E770" s="28"/>
      <c r="F770" s="28"/>
    </row>
    <row r="771" spans="1:6" x14ac:dyDescent="0.2">
      <c r="A771" s="27"/>
      <c r="B771" s="27"/>
      <c r="C771" s="27"/>
      <c r="D771" s="35"/>
      <c r="E771" s="28"/>
      <c r="F771" s="28"/>
    </row>
    <row r="772" spans="1:6" x14ac:dyDescent="0.2">
      <c r="A772" s="27"/>
      <c r="B772" s="27"/>
      <c r="C772" s="27"/>
      <c r="D772" s="35"/>
      <c r="E772" s="28"/>
      <c r="F772" s="28"/>
    </row>
    <row r="773" spans="1:6" x14ac:dyDescent="0.2">
      <c r="A773" s="27"/>
      <c r="B773" s="27"/>
      <c r="C773" s="27"/>
      <c r="D773" s="35"/>
      <c r="E773" s="28"/>
      <c r="F773" s="28"/>
    </row>
    <row r="774" spans="1:6" x14ac:dyDescent="0.2">
      <c r="A774" s="27"/>
      <c r="B774" s="27"/>
      <c r="C774" s="27"/>
      <c r="D774" s="35"/>
      <c r="E774" s="28"/>
      <c r="F774" s="28"/>
    </row>
    <row r="775" spans="1:6" x14ac:dyDescent="0.2">
      <c r="A775" s="27"/>
      <c r="B775" s="27"/>
      <c r="C775" s="27"/>
      <c r="D775" s="35"/>
      <c r="E775" s="28"/>
      <c r="F775" s="28"/>
    </row>
    <row r="776" spans="1:6" x14ac:dyDescent="0.2">
      <c r="A776" s="27"/>
      <c r="B776" s="27"/>
      <c r="C776" s="27"/>
      <c r="D776" s="35"/>
      <c r="E776" s="28"/>
      <c r="F776" s="28"/>
    </row>
    <row r="777" spans="1:6" x14ac:dyDescent="0.2">
      <c r="A777" s="27"/>
      <c r="B777" s="27"/>
      <c r="C777" s="27"/>
      <c r="D777" s="35"/>
      <c r="E777" s="28"/>
      <c r="F777" s="28"/>
    </row>
    <row r="778" spans="1:6" x14ac:dyDescent="0.2">
      <c r="A778" s="27"/>
      <c r="B778" s="27"/>
      <c r="C778" s="27"/>
      <c r="D778" s="35"/>
      <c r="E778" s="28"/>
      <c r="F778" s="28"/>
    </row>
    <row r="779" spans="1:6" x14ac:dyDescent="0.2">
      <c r="A779" s="27"/>
      <c r="B779" s="27"/>
      <c r="C779" s="27"/>
      <c r="D779" s="35"/>
      <c r="E779" s="28"/>
      <c r="F779" s="28"/>
    </row>
    <row r="780" spans="1:6" x14ac:dyDescent="0.2">
      <c r="A780" s="27"/>
      <c r="B780" s="27"/>
      <c r="C780" s="27"/>
      <c r="D780" s="35"/>
      <c r="E780" s="28"/>
      <c r="F780" s="28"/>
    </row>
    <row r="781" spans="1:6" x14ac:dyDescent="0.2">
      <c r="A781" s="27"/>
      <c r="B781" s="27"/>
      <c r="C781" s="27"/>
      <c r="D781" s="35"/>
      <c r="E781" s="28"/>
      <c r="F781" s="28"/>
    </row>
    <row r="782" spans="1:6" x14ac:dyDescent="0.2">
      <c r="A782" s="27"/>
      <c r="B782" s="27"/>
      <c r="C782" s="27"/>
      <c r="D782" s="35"/>
      <c r="E782" s="28"/>
      <c r="F782" s="28"/>
    </row>
    <row r="783" spans="1:6" x14ac:dyDescent="0.2">
      <c r="A783" s="27"/>
      <c r="B783" s="27"/>
      <c r="C783" s="27"/>
      <c r="D783" s="35"/>
      <c r="E783" s="28"/>
      <c r="F783" s="28"/>
    </row>
    <row r="784" spans="1:6" x14ac:dyDescent="0.2">
      <c r="A784" s="27"/>
      <c r="B784" s="27"/>
      <c r="C784" s="27"/>
      <c r="D784" s="35"/>
      <c r="E784" s="28"/>
      <c r="F784" s="28"/>
    </row>
    <row r="785" spans="1:6" x14ac:dyDescent="0.2">
      <c r="A785" s="27"/>
      <c r="B785" s="27"/>
      <c r="C785" s="27"/>
      <c r="D785" s="35"/>
      <c r="E785" s="28"/>
      <c r="F785" s="28"/>
    </row>
    <row r="786" spans="1:6" x14ac:dyDescent="0.2">
      <c r="A786" s="27"/>
      <c r="B786" s="27"/>
      <c r="C786" s="27"/>
      <c r="D786" s="35"/>
      <c r="E786" s="28"/>
      <c r="F786" s="28"/>
    </row>
    <row r="787" spans="1:6" x14ac:dyDescent="0.2">
      <c r="A787" s="27"/>
      <c r="B787" s="27"/>
      <c r="C787" s="27"/>
      <c r="D787" s="35"/>
      <c r="E787" s="28"/>
      <c r="F787" s="28"/>
    </row>
    <row r="788" spans="1:6" x14ac:dyDescent="0.2">
      <c r="A788" s="27"/>
      <c r="B788" s="27"/>
      <c r="C788" s="27"/>
      <c r="D788" s="35"/>
      <c r="E788" s="28"/>
      <c r="F788" s="28"/>
    </row>
    <row r="789" spans="1:6" x14ac:dyDescent="0.2">
      <c r="A789" s="27"/>
      <c r="B789" s="27"/>
      <c r="C789" s="27"/>
      <c r="D789" s="35"/>
      <c r="E789" s="28"/>
      <c r="F789" s="28"/>
    </row>
    <row r="790" spans="1:6" x14ac:dyDescent="0.2">
      <c r="A790" s="27"/>
      <c r="B790" s="27"/>
      <c r="C790" s="27"/>
      <c r="D790" s="35"/>
      <c r="E790" s="28"/>
      <c r="F790" s="28"/>
    </row>
    <row r="791" spans="1:6" x14ac:dyDescent="0.2">
      <c r="A791" s="27"/>
      <c r="B791" s="27"/>
      <c r="C791" s="27"/>
      <c r="D791" s="35"/>
      <c r="E791" s="28"/>
      <c r="F791" s="28"/>
    </row>
    <row r="792" spans="1:6" x14ac:dyDescent="0.2">
      <c r="A792" s="27"/>
      <c r="B792" s="27"/>
      <c r="C792" s="27"/>
      <c r="D792" s="35"/>
      <c r="E792" s="28"/>
      <c r="F792" s="28"/>
    </row>
    <row r="793" spans="1:6" x14ac:dyDescent="0.2">
      <c r="A793" s="27"/>
      <c r="B793" s="27"/>
      <c r="C793" s="27"/>
      <c r="D793" s="35"/>
      <c r="E793" s="28"/>
      <c r="F793" s="28"/>
    </row>
    <row r="794" spans="1:6" x14ac:dyDescent="0.2">
      <c r="A794" s="27"/>
      <c r="B794" s="27"/>
      <c r="C794" s="27"/>
      <c r="D794" s="35"/>
      <c r="E794" s="28"/>
      <c r="F794" s="28"/>
    </row>
    <row r="795" spans="1:6" x14ac:dyDescent="0.2">
      <c r="A795" s="27"/>
      <c r="B795" s="27"/>
      <c r="C795" s="27"/>
      <c r="D795" s="35"/>
      <c r="E795" s="28"/>
      <c r="F795" s="28"/>
    </row>
    <row r="796" spans="1:6" x14ac:dyDescent="0.2">
      <c r="A796" s="27"/>
      <c r="B796" s="27"/>
      <c r="C796" s="27"/>
      <c r="D796" s="35"/>
      <c r="E796" s="28"/>
      <c r="F796" s="28"/>
    </row>
    <row r="797" spans="1:6" x14ac:dyDescent="0.2">
      <c r="A797" s="27"/>
      <c r="B797" s="27"/>
      <c r="C797" s="27"/>
      <c r="D797" s="35"/>
      <c r="E797" s="28"/>
      <c r="F797" s="28"/>
    </row>
    <row r="798" spans="1:6" x14ac:dyDescent="0.2">
      <c r="A798" s="27"/>
      <c r="B798" s="27"/>
      <c r="C798" s="27"/>
      <c r="D798" s="35"/>
      <c r="E798" s="28"/>
      <c r="F798" s="28"/>
    </row>
    <row r="799" spans="1:6" x14ac:dyDescent="0.2">
      <c r="A799" s="27"/>
      <c r="B799" s="27"/>
      <c r="C799" s="27"/>
      <c r="D799" s="35"/>
      <c r="E799" s="28"/>
      <c r="F799" s="28"/>
    </row>
    <row r="800" spans="1:6" x14ac:dyDescent="0.2">
      <c r="A800" s="27"/>
      <c r="B800" s="27"/>
      <c r="C800" s="27"/>
      <c r="D800" s="35"/>
      <c r="E800" s="28"/>
      <c r="F800" s="28"/>
    </row>
    <row r="801" spans="1:6" x14ac:dyDescent="0.2">
      <c r="A801" s="27"/>
      <c r="B801" s="27"/>
      <c r="C801" s="27"/>
      <c r="D801" s="35"/>
      <c r="E801" s="28"/>
      <c r="F801" s="28"/>
    </row>
    <row r="802" spans="1:6" x14ac:dyDescent="0.2">
      <c r="A802" s="27"/>
      <c r="B802" s="27"/>
      <c r="C802" s="27"/>
      <c r="D802" s="35"/>
      <c r="E802" s="28"/>
      <c r="F802" s="28"/>
    </row>
    <row r="803" spans="1:6" x14ac:dyDescent="0.2">
      <c r="A803" s="27"/>
      <c r="B803" s="27"/>
      <c r="C803" s="27"/>
      <c r="D803" s="35"/>
      <c r="E803" s="28"/>
      <c r="F803" s="28"/>
    </row>
    <row r="804" spans="1:6" x14ac:dyDescent="0.2">
      <c r="A804" s="27"/>
      <c r="B804" s="27"/>
      <c r="C804" s="27"/>
      <c r="D804" s="35"/>
      <c r="E804" s="28"/>
      <c r="F804" s="28"/>
    </row>
    <row r="805" spans="1:6" x14ac:dyDescent="0.2">
      <c r="A805" s="27"/>
      <c r="B805" s="27"/>
      <c r="C805" s="27"/>
      <c r="D805" s="35"/>
      <c r="E805" s="28"/>
      <c r="F805" s="28"/>
    </row>
    <row r="806" spans="1:6" x14ac:dyDescent="0.2">
      <c r="A806" s="27"/>
      <c r="B806" s="27"/>
      <c r="C806" s="27"/>
      <c r="D806" s="35"/>
      <c r="E806" s="28"/>
      <c r="F806" s="28"/>
    </row>
    <row r="807" spans="1:6" x14ac:dyDescent="0.2">
      <c r="A807" s="27"/>
      <c r="B807" s="27"/>
      <c r="C807" s="27"/>
      <c r="D807" s="35"/>
      <c r="E807" s="28"/>
      <c r="F807" s="28"/>
    </row>
    <row r="808" spans="1:6" x14ac:dyDescent="0.2">
      <c r="A808" s="27"/>
      <c r="B808" s="27"/>
      <c r="C808" s="27"/>
      <c r="D808" s="35"/>
      <c r="E808" s="28"/>
      <c r="F808" s="28"/>
    </row>
    <row r="809" spans="1:6" x14ac:dyDescent="0.2">
      <c r="A809" s="27"/>
      <c r="B809" s="27"/>
      <c r="C809" s="27"/>
      <c r="D809" s="35"/>
      <c r="E809" s="28"/>
      <c r="F809" s="28"/>
    </row>
    <row r="810" spans="1:6" x14ac:dyDescent="0.2">
      <c r="A810" s="27"/>
      <c r="B810" s="27"/>
      <c r="C810" s="27"/>
      <c r="D810" s="35"/>
      <c r="E810" s="28"/>
      <c r="F810" s="28"/>
    </row>
    <row r="811" spans="1:6" x14ac:dyDescent="0.2">
      <c r="A811" s="27"/>
      <c r="B811" s="27"/>
      <c r="C811" s="27"/>
      <c r="D811" s="35"/>
      <c r="E811" s="28"/>
      <c r="F811" s="28"/>
    </row>
    <row r="812" spans="1:6" x14ac:dyDescent="0.2">
      <c r="A812" s="27"/>
      <c r="B812" s="27"/>
      <c r="C812" s="27"/>
      <c r="D812" s="35"/>
      <c r="E812" s="28"/>
      <c r="F812" s="28"/>
    </row>
    <row r="813" spans="1:6" x14ac:dyDescent="0.2">
      <c r="A813" s="27"/>
      <c r="B813" s="27"/>
      <c r="C813" s="27"/>
      <c r="D813" s="35"/>
      <c r="E813" s="28"/>
      <c r="F813" s="28"/>
    </row>
    <row r="814" spans="1:6" x14ac:dyDescent="0.2">
      <c r="A814" s="27"/>
      <c r="B814" s="27"/>
      <c r="C814" s="27"/>
      <c r="D814" s="35"/>
      <c r="E814" s="28"/>
      <c r="F814" s="28"/>
    </row>
    <row r="815" spans="1:6" x14ac:dyDescent="0.2">
      <c r="A815" s="27"/>
      <c r="B815" s="27"/>
      <c r="C815" s="27"/>
      <c r="D815" s="35"/>
      <c r="E815" s="28"/>
      <c r="F815" s="28"/>
    </row>
    <row r="816" spans="1:6" x14ac:dyDescent="0.2">
      <c r="A816" s="27"/>
      <c r="B816" s="27"/>
      <c r="C816" s="27"/>
      <c r="D816" s="35"/>
      <c r="E816" s="28"/>
      <c r="F816" s="28"/>
    </row>
    <row r="817" spans="1:6" x14ac:dyDescent="0.2">
      <c r="A817" s="27"/>
      <c r="B817" s="27"/>
      <c r="C817" s="27"/>
      <c r="D817" s="35"/>
      <c r="E817" s="28"/>
      <c r="F817" s="28"/>
    </row>
    <row r="818" spans="1:6" x14ac:dyDescent="0.2">
      <c r="A818" s="27"/>
      <c r="B818" s="27"/>
      <c r="C818" s="27"/>
      <c r="D818" s="35"/>
      <c r="E818" s="28"/>
      <c r="F818" s="28"/>
    </row>
    <row r="819" spans="1:6" x14ac:dyDescent="0.2">
      <c r="A819" s="27"/>
      <c r="B819" s="27"/>
      <c r="C819" s="27"/>
      <c r="D819" s="35"/>
      <c r="E819" s="28"/>
      <c r="F819" s="28"/>
    </row>
    <row r="820" spans="1:6" x14ac:dyDescent="0.2">
      <c r="A820" s="27"/>
      <c r="B820" s="27"/>
      <c r="C820" s="27"/>
      <c r="D820" s="35"/>
      <c r="E820" s="28"/>
      <c r="F820" s="28"/>
    </row>
    <row r="821" spans="1:6" x14ac:dyDescent="0.2">
      <c r="A821" s="27"/>
      <c r="B821" s="27"/>
      <c r="C821" s="27"/>
      <c r="D821" s="35"/>
      <c r="E821" s="28"/>
      <c r="F821" s="28"/>
    </row>
    <row r="822" spans="1:6" x14ac:dyDescent="0.2">
      <c r="A822" s="27"/>
      <c r="B822" s="27"/>
      <c r="C822" s="27"/>
      <c r="D822" s="35"/>
      <c r="E822" s="28"/>
      <c r="F822" s="28"/>
    </row>
    <row r="823" spans="1:6" x14ac:dyDescent="0.2">
      <c r="A823" s="27"/>
      <c r="B823" s="27"/>
      <c r="C823" s="27"/>
      <c r="D823" s="35"/>
      <c r="E823" s="28"/>
      <c r="F823" s="28"/>
    </row>
    <row r="824" spans="1:6" x14ac:dyDescent="0.2">
      <c r="A824" s="27"/>
      <c r="B824" s="27"/>
      <c r="C824" s="27"/>
      <c r="D824" s="35"/>
      <c r="E824" s="28"/>
      <c r="F824" s="28"/>
    </row>
    <row r="825" spans="1:6" x14ac:dyDescent="0.2">
      <c r="A825" s="27"/>
      <c r="B825" s="27"/>
      <c r="C825" s="27"/>
      <c r="D825" s="35"/>
      <c r="E825" s="28"/>
      <c r="F825" s="28"/>
    </row>
    <row r="826" spans="1:6" x14ac:dyDescent="0.2">
      <c r="A826" s="27"/>
      <c r="B826" s="27"/>
      <c r="C826" s="27"/>
      <c r="D826" s="35"/>
      <c r="E826" s="28"/>
      <c r="F826" s="28"/>
    </row>
    <row r="827" spans="1:6" x14ac:dyDescent="0.2">
      <c r="A827" s="27"/>
      <c r="B827" s="27"/>
      <c r="C827" s="27"/>
      <c r="D827" s="35"/>
      <c r="E827" s="28"/>
      <c r="F827" s="28"/>
    </row>
    <row r="828" spans="1:6" x14ac:dyDescent="0.2">
      <c r="A828" s="27"/>
      <c r="B828" s="27"/>
      <c r="C828" s="27"/>
      <c r="D828" s="35"/>
      <c r="E828" s="28"/>
      <c r="F828" s="28"/>
    </row>
    <row r="829" spans="1:6" x14ac:dyDescent="0.2">
      <c r="A829" s="27"/>
      <c r="B829" s="27"/>
      <c r="C829" s="27"/>
      <c r="D829" s="35"/>
      <c r="E829" s="28"/>
      <c r="F829" s="28"/>
    </row>
    <row r="830" spans="1:6" x14ac:dyDescent="0.2">
      <c r="A830" s="27"/>
      <c r="B830" s="27"/>
      <c r="C830" s="27"/>
      <c r="D830" s="35"/>
      <c r="E830" s="28"/>
      <c r="F830" s="28"/>
    </row>
    <row r="831" spans="1:6" x14ac:dyDescent="0.2">
      <c r="A831" s="27"/>
      <c r="B831" s="27"/>
      <c r="C831" s="27"/>
      <c r="D831" s="35"/>
      <c r="E831" s="28"/>
      <c r="F831" s="28"/>
    </row>
    <row r="832" spans="1:6" x14ac:dyDescent="0.2">
      <c r="A832" s="27"/>
      <c r="B832" s="27"/>
      <c r="C832" s="27"/>
      <c r="D832" s="35"/>
      <c r="E832" s="28"/>
      <c r="F832" s="28"/>
    </row>
    <row r="833" spans="1:6" x14ac:dyDescent="0.2">
      <c r="A833" s="27"/>
      <c r="B833" s="27"/>
      <c r="C833" s="27"/>
      <c r="D833" s="35"/>
      <c r="E833" s="28"/>
      <c r="F833" s="28"/>
    </row>
    <row r="834" spans="1:6" x14ac:dyDescent="0.2">
      <c r="A834" s="27"/>
      <c r="B834" s="27"/>
      <c r="C834" s="27"/>
      <c r="D834" s="35"/>
      <c r="E834" s="28"/>
      <c r="F834" s="28"/>
    </row>
    <row r="835" spans="1:6" x14ac:dyDescent="0.2">
      <c r="A835" s="27"/>
      <c r="B835" s="27"/>
      <c r="C835" s="27"/>
      <c r="D835" s="35"/>
      <c r="E835" s="28"/>
      <c r="F835" s="28"/>
    </row>
    <row r="836" spans="1:6" x14ac:dyDescent="0.2">
      <c r="A836" s="27"/>
      <c r="B836" s="27"/>
      <c r="C836" s="27"/>
      <c r="D836" s="35"/>
      <c r="E836" s="28"/>
      <c r="F836" s="28"/>
    </row>
    <row r="837" spans="1:6" x14ac:dyDescent="0.2">
      <c r="A837" s="27"/>
      <c r="B837" s="27"/>
      <c r="C837" s="27"/>
      <c r="D837" s="35"/>
      <c r="E837" s="28"/>
      <c r="F837" s="28"/>
    </row>
    <row r="838" spans="1:6" x14ac:dyDescent="0.2">
      <c r="A838" s="27"/>
      <c r="B838" s="27"/>
      <c r="C838" s="27"/>
      <c r="D838" s="35"/>
      <c r="E838" s="28"/>
      <c r="F838" s="28"/>
    </row>
    <row r="839" spans="1:6" x14ac:dyDescent="0.2">
      <c r="A839" s="27"/>
      <c r="B839" s="27"/>
      <c r="C839" s="27"/>
      <c r="D839" s="35"/>
      <c r="E839" s="28"/>
      <c r="F839" s="28"/>
    </row>
    <row r="840" spans="1:6" x14ac:dyDescent="0.2">
      <c r="A840" s="27"/>
      <c r="B840" s="27"/>
      <c r="C840" s="27"/>
      <c r="D840" s="35"/>
      <c r="E840" s="28"/>
      <c r="F840" s="28"/>
    </row>
    <row r="841" spans="1:6" x14ac:dyDescent="0.2">
      <c r="A841" s="27"/>
      <c r="B841" s="27"/>
      <c r="C841" s="27"/>
      <c r="D841" s="35"/>
      <c r="E841" s="28"/>
      <c r="F841" s="28"/>
    </row>
    <row r="842" spans="1:6" x14ac:dyDescent="0.2">
      <c r="A842" s="27"/>
      <c r="B842" s="27"/>
      <c r="C842" s="27"/>
      <c r="D842" s="35"/>
      <c r="E842" s="28"/>
      <c r="F842" s="28"/>
    </row>
    <row r="843" spans="1:6" x14ac:dyDescent="0.2">
      <c r="A843" s="27"/>
      <c r="B843" s="27"/>
      <c r="C843" s="27"/>
      <c r="D843" s="35"/>
      <c r="E843" s="28"/>
      <c r="F843" s="28"/>
    </row>
    <row r="844" spans="1:6" x14ac:dyDescent="0.2">
      <c r="A844" s="27"/>
      <c r="B844" s="27"/>
      <c r="C844" s="27"/>
      <c r="D844" s="35"/>
      <c r="E844" s="28"/>
      <c r="F844" s="28"/>
    </row>
    <row r="845" spans="1:6" x14ac:dyDescent="0.2">
      <c r="A845" s="27"/>
      <c r="B845" s="27"/>
      <c r="C845" s="27"/>
      <c r="D845" s="35"/>
      <c r="E845" s="28"/>
      <c r="F845" s="28"/>
    </row>
    <row r="846" spans="1:6" x14ac:dyDescent="0.2">
      <c r="A846" s="27"/>
      <c r="B846" s="27"/>
      <c r="C846" s="27"/>
      <c r="D846" s="35"/>
      <c r="E846" s="28"/>
      <c r="F846" s="28"/>
    </row>
    <row r="847" spans="1:6" x14ac:dyDescent="0.2">
      <c r="A847" s="27"/>
      <c r="B847" s="27"/>
      <c r="C847" s="27"/>
      <c r="D847" s="35"/>
      <c r="E847" s="28"/>
      <c r="F847" s="28"/>
    </row>
    <row r="848" spans="1:6" x14ac:dyDescent="0.2">
      <c r="A848" s="27"/>
      <c r="B848" s="27"/>
      <c r="C848" s="27"/>
      <c r="D848" s="35"/>
      <c r="E848" s="28"/>
      <c r="F848" s="28"/>
    </row>
    <row r="849" spans="1:6" x14ac:dyDescent="0.2">
      <c r="A849" s="27"/>
      <c r="B849" s="27"/>
      <c r="C849" s="27"/>
      <c r="D849" s="35"/>
      <c r="E849" s="28"/>
      <c r="F849" s="28"/>
    </row>
    <row r="850" spans="1:6" x14ac:dyDescent="0.2">
      <c r="A850" s="27"/>
      <c r="B850" s="27"/>
      <c r="C850" s="27"/>
      <c r="D850" s="35"/>
      <c r="E850" s="28"/>
      <c r="F850" s="28"/>
    </row>
    <row r="851" spans="1:6" x14ac:dyDescent="0.2">
      <c r="A851" s="27"/>
      <c r="B851" s="27"/>
      <c r="C851" s="27"/>
      <c r="D851" s="35"/>
      <c r="E851" s="28"/>
      <c r="F851" s="28"/>
    </row>
    <row r="852" spans="1:6" x14ac:dyDescent="0.2">
      <c r="A852" s="27"/>
      <c r="B852" s="27"/>
      <c r="C852" s="27"/>
      <c r="D852" s="35"/>
      <c r="E852" s="28"/>
      <c r="F852" s="28"/>
    </row>
    <row r="853" spans="1:6" x14ac:dyDescent="0.2">
      <c r="A853" s="27"/>
      <c r="B853" s="27"/>
      <c r="C853" s="27"/>
      <c r="D853" s="35"/>
      <c r="E853" s="28"/>
      <c r="F853" s="28"/>
    </row>
    <row r="854" spans="1:6" x14ac:dyDescent="0.2">
      <c r="A854" s="27"/>
      <c r="B854" s="27"/>
      <c r="C854" s="27"/>
      <c r="D854" s="35"/>
      <c r="E854" s="28"/>
      <c r="F854" s="28"/>
    </row>
    <row r="855" spans="1:6" x14ac:dyDescent="0.2">
      <c r="A855" s="27"/>
      <c r="B855" s="27"/>
      <c r="C855" s="27"/>
      <c r="D855" s="35"/>
      <c r="E855" s="28"/>
      <c r="F855" s="28"/>
    </row>
    <row r="856" spans="1:6" x14ac:dyDescent="0.2">
      <c r="A856" s="27"/>
      <c r="B856" s="27"/>
      <c r="C856" s="27"/>
      <c r="D856" s="35"/>
      <c r="E856" s="28"/>
      <c r="F856" s="28"/>
    </row>
    <row r="857" spans="1:6" x14ac:dyDescent="0.2">
      <c r="A857" s="27"/>
      <c r="B857" s="27"/>
      <c r="C857" s="27"/>
      <c r="D857" s="35"/>
      <c r="E857" s="28"/>
      <c r="F857" s="28"/>
    </row>
    <row r="858" spans="1:6" x14ac:dyDescent="0.2">
      <c r="A858" s="27"/>
      <c r="B858" s="27"/>
      <c r="C858" s="27"/>
      <c r="D858" s="35"/>
      <c r="E858" s="28"/>
      <c r="F858" s="28"/>
    </row>
    <row r="859" spans="1:6" x14ac:dyDescent="0.2">
      <c r="A859" s="27"/>
      <c r="B859" s="27"/>
      <c r="C859" s="27"/>
      <c r="D859" s="35"/>
      <c r="E859" s="28"/>
      <c r="F859" s="28"/>
    </row>
    <row r="860" spans="1:6" x14ac:dyDescent="0.2">
      <c r="A860" s="27"/>
      <c r="B860" s="27"/>
      <c r="C860" s="27"/>
      <c r="D860" s="35"/>
      <c r="E860" s="28"/>
      <c r="F860" s="28"/>
    </row>
    <row r="861" spans="1:6" x14ac:dyDescent="0.2">
      <c r="A861" s="27"/>
      <c r="B861" s="27"/>
      <c r="C861" s="27"/>
      <c r="D861" s="35"/>
      <c r="E861" s="28"/>
      <c r="F861" s="28"/>
    </row>
    <row r="862" spans="1:6" x14ac:dyDescent="0.2">
      <c r="A862" s="27"/>
      <c r="B862" s="27"/>
      <c r="C862" s="27"/>
      <c r="D862" s="35"/>
      <c r="E862" s="28"/>
      <c r="F862" s="28"/>
    </row>
    <row r="863" spans="1:6" x14ac:dyDescent="0.2">
      <c r="A863" s="27"/>
      <c r="B863" s="27"/>
      <c r="C863" s="27"/>
      <c r="D863" s="35"/>
      <c r="E863" s="28"/>
      <c r="F863" s="28"/>
    </row>
    <row r="864" spans="1:6" x14ac:dyDescent="0.2">
      <c r="A864" s="27"/>
      <c r="B864" s="27"/>
      <c r="C864" s="27"/>
      <c r="D864" s="35"/>
      <c r="E864" s="28"/>
      <c r="F864" s="28"/>
    </row>
    <row r="865" spans="1:6" x14ac:dyDescent="0.2">
      <c r="A865" s="27"/>
      <c r="B865" s="27"/>
      <c r="C865" s="27"/>
      <c r="D865" s="35"/>
      <c r="E865" s="28"/>
      <c r="F865" s="28"/>
    </row>
    <row r="866" spans="1:6" x14ac:dyDescent="0.2">
      <c r="A866" s="27"/>
      <c r="B866" s="27"/>
      <c r="C866" s="27"/>
      <c r="D866" s="35"/>
      <c r="E866" s="28"/>
      <c r="F866" s="28"/>
    </row>
    <row r="867" spans="1:6" x14ac:dyDescent="0.2">
      <c r="A867" s="27"/>
      <c r="B867" s="27"/>
      <c r="C867" s="27"/>
      <c r="D867" s="35"/>
      <c r="E867" s="28"/>
      <c r="F867" s="28"/>
    </row>
    <row r="868" spans="1:6" x14ac:dyDescent="0.2">
      <c r="A868" s="27"/>
      <c r="B868" s="27"/>
      <c r="C868" s="27"/>
      <c r="D868" s="35"/>
      <c r="E868" s="28"/>
      <c r="F868" s="28"/>
    </row>
    <row r="869" spans="1:6" x14ac:dyDescent="0.2">
      <c r="A869" s="27"/>
      <c r="B869" s="27"/>
      <c r="C869" s="27"/>
      <c r="D869" s="35"/>
      <c r="E869" s="28"/>
      <c r="F869" s="28"/>
    </row>
    <row r="870" spans="1:6" x14ac:dyDescent="0.2">
      <c r="A870" s="27"/>
      <c r="B870" s="27"/>
      <c r="C870" s="27"/>
      <c r="D870" s="35"/>
      <c r="E870" s="28"/>
      <c r="F870" s="28"/>
    </row>
    <row r="871" spans="1:6" x14ac:dyDescent="0.2">
      <c r="A871" s="27"/>
      <c r="B871" s="27"/>
      <c r="C871" s="27"/>
      <c r="D871" s="35"/>
      <c r="E871" s="28"/>
      <c r="F871" s="28"/>
    </row>
    <row r="872" spans="1:6" x14ac:dyDescent="0.2">
      <c r="A872" s="27"/>
      <c r="B872" s="27"/>
      <c r="C872" s="27"/>
      <c r="D872" s="35"/>
      <c r="E872" s="28"/>
      <c r="F872" s="28"/>
    </row>
    <row r="873" spans="1:6" x14ac:dyDescent="0.2">
      <c r="A873" s="27"/>
      <c r="B873" s="27"/>
      <c r="C873" s="27"/>
      <c r="D873" s="35"/>
      <c r="E873" s="28"/>
      <c r="F873" s="28"/>
    </row>
    <row r="874" spans="1:6" x14ac:dyDescent="0.2">
      <c r="A874" s="27"/>
      <c r="B874" s="27"/>
      <c r="C874" s="27"/>
      <c r="D874" s="35"/>
      <c r="E874" s="28"/>
      <c r="F874" s="28"/>
    </row>
    <row r="875" spans="1:6" x14ac:dyDescent="0.2">
      <c r="A875" s="27"/>
      <c r="B875" s="27"/>
      <c r="C875" s="27"/>
      <c r="D875" s="35"/>
      <c r="E875" s="28"/>
      <c r="F875" s="28"/>
    </row>
    <row r="876" spans="1:6" x14ac:dyDescent="0.2">
      <c r="A876" s="27"/>
      <c r="B876" s="27"/>
      <c r="C876" s="27"/>
      <c r="D876" s="35"/>
      <c r="E876" s="28"/>
      <c r="F876" s="28"/>
    </row>
    <row r="877" spans="1:6" x14ac:dyDescent="0.2">
      <c r="A877" s="27"/>
      <c r="B877" s="27"/>
      <c r="C877" s="27"/>
      <c r="D877" s="35"/>
      <c r="E877" s="28"/>
      <c r="F877" s="28"/>
    </row>
    <row r="878" spans="1:6" x14ac:dyDescent="0.2">
      <c r="A878" s="27"/>
      <c r="B878" s="27"/>
      <c r="C878" s="27"/>
      <c r="D878" s="35"/>
      <c r="E878" s="28"/>
      <c r="F878" s="28"/>
    </row>
    <row r="879" spans="1:6" x14ac:dyDescent="0.2">
      <c r="A879" s="27"/>
      <c r="B879" s="27"/>
      <c r="C879" s="27"/>
      <c r="D879" s="35"/>
      <c r="E879" s="28"/>
      <c r="F879" s="28"/>
    </row>
    <row r="880" spans="1:6" x14ac:dyDescent="0.2">
      <c r="A880" s="27"/>
      <c r="B880" s="27"/>
      <c r="C880" s="27"/>
      <c r="D880" s="35"/>
      <c r="E880" s="28"/>
      <c r="F880" s="28"/>
    </row>
    <row r="881" spans="1:6" x14ac:dyDescent="0.2">
      <c r="A881" s="27"/>
      <c r="B881" s="27"/>
      <c r="C881" s="27"/>
      <c r="D881" s="35"/>
      <c r="E881" s="28"/>
      <c r="F881" s="28"/>
    </row>
    <row r="882" spans="1:6" x14ac:dyDescent="0.2">
      <c r="A882" s="27"/>
      <c r="B882" s="27"/>
      <c r="C882" s="27"/>
      <c r="D882" s="35"/>
      <c r="E882" s="28"/>
      <c r="F882" s="28"/>
    </row>
    <row r="883" spans="1:6" x14ac:dyDescent="0.2">
      <c r="A883" s="27"/>
      <c r="B883" s="27"/>
      <c r="C883" s="27"/>
      <c r="D883" s="35"/>
      <c r="E883" s="28"/>
      <c r="F883" s="28"/>
    </row>
    <row r="884" spans="1:6" x14ac:dyDescent="0.2">
      <c r="A884" s="27"/>
      <c r="B884" s="27"/>
      <c r="C884" s="27"/>
      <c r="D884" s="35"/>
      <c r="E884" s="28"/>
      <c r="F884" s="28"/>
    </row>
    <row r="885" spans="1:6" x14ac:dyDescent="0.2">
      <c r="A885" s="27"/>
      <c r="B885" s="27"/>
      <c r="C885" s="27"/>
      <c r="D885" s="35"/>
      <c r="E885" s="28"/>
      <c r="F885" s="28"/>
    </row>
    <row r="886" spans="1:6" x14ac:dyDescent="0.2">
      <c r="A886" s="27"/>
      <c r="B886" s="27"/>
      <c r="C886" s="27"/>
      <c r="D886" s="35"/>
      <c r="E886" s="28"/>
      <c r="F886" s="28"/>
    </row>
    <row r="887" spans="1:6" x14ac:dyDescent="0.2">
      <c r="A887" s="27"/>
      <c r="B887" s="27"/>
      <c r="C887" s="27"/>
      <c r="D887" s="35"/>
      <c r="E887" s="28"/>
      <c r="F887" s="28"/>
    </row>
    <row r="888" spans="1:6" x14ac:dyDescent="0.2">
      <c r="A888" s="27"/>
      <c r="B888" s="27"/>
      <c r="C888" s="27"/>
      <c r="D888" s="35"/>
      <c r="E888" s="28"/>
      <c r="F888" s="28"/>
    </row>
    <row r="889" spans="1:6" x14ac:dyDescent="0.2">
      <c r="A889" s="27"/>
      <c r="B889" s="27"/>
      <c r="C889" s="27"/>
      <c r="D889" s="35"/>
      <c r="E889" s="28"/>
      <c r="F889" s="28"/>
    </row>
    <row r="890" spans="1:6" x14ac:dyDescent="0.2">
      <c r="A890" s="27"/>
      <c r="B890" s="27"/>
      <c r="C890" s="27"/>
      <c r="D890" s="35"/>
      <c r="E890" s="28"/>
      <c r="F890" s="28"/>
    </row>
    <row r="891" spans="1:6" x14ac:dyDescent="0.2">
      <c r="A891" s="27"/>
      <c r="B891" s="27"/>
      <c r="C891" s="27"/>
      <c r="D891" s="35"/>
      <c r="E891" s="28"/>
      <c r="F891" s="28"/>
    </row>
    <row r="892" spans="1:6" x14ac:dyDescent="0.2">
      <c r="A892" s="27"/>
      <c r="B892" s="27"/>
      <c r="C892" s="27"/>
      <c r="D892" s="35"/>
      <c r="E892" s="28"/>
      <c r="F892" s="28"/>
    </row>
    <row r="893" spans="1:6" x14ac:dyDescent="0.2">
      <c r="A893" s="27"/>
      <c r="B893" s="27"/>
      <c r="C893" s="27"/>
      <c r="D893" s="35"/>
      <c r="E893" s="28"/>
      <c r="F893" s="28"/>
    </row>
    <row r="894" spans="1:6" x14ac:dyDescent="0.2">
      <c r="A894" s="27"/>
      <c r="B894" s="27"/>
      <c r="C894" s="27"/>
      <c r="D894" s="35"/>
      <c r="E894" s="28"/>
      <c r="F894" s="28"/>
    </row>
    <row r="895" spans="1:6" x14ac:dyDescent="0.2">
      <c r="A895" s="27"/>
      <c r="B895" s="27"/>
      <c r="C895" s="27"/>
      <c r="D895" s="35"/>
      <c r="E895" s="28"/>
      <c r="F895" s="28"/>
    </row>
    <row r="896" spans="1:6" x14ac:dyDescent="0.2">
      <c r="A896" s="27"/>
      <c r="B896" s="27"/>
      <c r="C896" s="27"/>
      <c r="D896" s="35"/>
      <c r="E896" s="28"/>
      <c r="F896" s="28"/>
    </row>
    <row r="897" spans="1:6" x14ac:dyDescent="0.2">
      <c r="A897" s="27"/>
      <c r="B897" s="27"/>
      <c r="C897" s="27"/>
      <c r="D897" s="35"/>
      <c r="E897" s="28"/>
      <c r="F897" s="28"/>
    </row>
    <row r="898" spans="1:6" x14ac:dyDescent="0.2">
      <c r="A898" s="27"/>
      <c r="B898" s="27"/>
      <c r="C898" s="27"/>
      <c r="D898" s="35"/>
      <c r="E898" s="28"/>
      <c r="F898" s="28"/>
    </row>
    <row r="899" spans="1:6" x14ac:dyDescent="0.2">
      <c r="A899" s="27"/>
      <c r="B899" s="27"/>
      <c r="C899" s="27"/>
      <c r="D899" s="35"/>
      <c r="E899" s="28"/>
      <c r="F899" s="28"/>
    </row>
    <row r="900" spans="1:6" x14ac:dyDescent="0.2">
      <c r="A900" s="27"/>
      <c r="B900" s="27"/>
      <c r="C900" s="27"/>
      <c r="D900" s="35"/>
      <c r="E900" s="28"/>
      <c r="F900" s="28"/>
    </row>
    <row r="901" spans="1:6" x14ac:dyDescent="0.2">
      <c r="A901" s="27"/>
      <c r="B901" s="27"/>
      <c r="C901" s="27"/>
      <c r="D901" s="35"/>
      <c r="E901" s="28"/>
      <c r="F901" s="28"/>
    </row>
    <row r="902" spans="1:6" x14ac:dyDescent="0.2">
      <c r="A902" s="27"/>
      <c r="B902" s="27"/>
      <c r="C902" s="27"/>
      <c r="D902" s="35"/>
      <c r="E902" s="28"/>
      <c r="F902" s="28"/>
    </row>
    <row r="903" spans="1:6" x14ac:dyDescent="0.2">
      <c r="A903" s="27"/>
      <c r="B903" s="27"/>
      <c r="C903" s="27"/>
      <c r="D903" s="35"/>
      <c r="E903" s="28"/>
      <c r="F903" s="28"/>
    </row>
    <row r="904" spans="1:6" x14ac:dyDescent="0.2">
      <c r="A904" s="27"/>
      <c r="B904" s="27"/>
      <c r="C904" s="27"/>
      <c r="D904" s="35"/>
      <c r="E904" s="28"/>
      <c r="F904" s="28"/>
    </row>
    <row r="905" spans="1:6" x14ac:dyDescent="0.2">
      <c r="A905" s="27"/>
      <c r="B905" s="27"/>
      <c r="C905" s="27"/>
      <c r="D905" s="35"/>
      <c r="E905" s="28"/>
      <c r="F905" s="28"/>
    </row>
    <row r="906" spans="1:6" x14ac:dyDescent="0.2">
      <c r="A906" s="27"/>
      <c r="B906" s="27"/>
      <c r="C906" s="27"/>
      <c r="D906" s="35"/>
      <c r="E906" s="28"/>
      <c r="F906" s="28"/>
    </row>
    <row r="907" spans="1:6" x14ac:dyDescent="0.2">
      <c r="A907" s="27"/>
      <c r="B907" s="27"/>
      <c r="C907" s="27"/>
      <c r="D907" s="35"/>
      <c r="E907" s="28"/>
      <c r="F907" s="28"/>
    </row>
    <row r="908" spans="1:6" x14ac:dyDescent="0.2">
      <c r="A908" s="27"/>
      <c r="B908" s="27"/>
      <c r="C908" s="27"/>
      <c r="D908" s="35"/>
      <c r="E908" s="28"/>
      <c r="F908" s="28"/>
    </row>
    <row r="909" spans="1:6" x14ac:dyDescent="0.2">
      <c r="A909" s="27"/>
      <c r="B909" s="27"/>
      <c r="C909" s="27"/>
      <c r="D909" s="35"/>
      <c r="E909" s="28"/>
      <c r="F909" s="28"/>
    </row>
    <row r="910" spans="1:6" x14ac:dyDescent="0.2">
      <c r="A910" s="27"/>
      <c r="B910" s="27"/>
      <c r="C910" s="27"/>
      <c r="D910" s="35"/>
      <c r="E910" s="28"/>
      <c r="F910" s="28"/>
    </row>
    <row r="911" spans="1:6" x14ac:dyDescent="0.2">
      <c r="A911" s="27"/>
      <c r="B911" s="27"/>
      <c r="C911" s="27"/>
      <c r="D911" s="35"/>
      <c r="E911" s="28"/>
      <c r="F911" s="28"/>
    </row>
    <row r="912" spans="1:6" x14ac:dyDescent="0.2">
      <c r="A912" s="27"/>
      <c r="B912" s="27"/>
      <c r="C912" s="27"/>
      <c r="D912" s="35"/>
      <c r="E912" s="28"/>
      <c r="F912" s="28"/>
    </row>
    <row r="913" spans="1:6" x14ac:dyDescent="0.2">
      <c r="A913" s="27"/>
      <c r="B913" s="27"/>
      <c r="C913" s="27"/>
      <c r="D913" s="35"/>
      <c r="E913" s="28"/>
      <c r="F913" s="28"/>
    </row>
    <row r="914" spans="1:6" x14ac:dyDescent="0.2">
      <c r="A914" s="27"/>
      <c r="B914" s="27"/>
      <c r="C914" s="27"/>
      <c r="D914" s="35"/>
      <c r="E914" s="28"/>
      <c r="F914" s="28"/>
    </row>
    <row r="915" spans="1:6" x14ac:dyDescent="0.2">
      <c r="A915" s="27"/>
      <c r="B915" s="27"/>
      <c r="C915" s="27"/>
      <c r="D915" s="35"/>
      <c r="E915" s="28"/>
      <c r="F915" s="28"/>
    </row>
    <row r="916" spans="1:6" x14ac:dyDescent="0.2">
      <c r="A916" s="27"/>
      <c r="B916" s="27"/>
      <c r="C916" s="27"/>
      <c r="D916" s="35"/>
      <c r="E916" s="28"/>
      <c r="F916" s="28"/>
    </row>
    <row r="917" spans="1:6" x14ac:dyDescent="0.2">
      <c r="A917" s="27"/>
      <c r="B917" s="27"/>
      <c r="C917" s="27"/>
      <c r="D917" s="35"/>
      <c r="E917" s="28"/>
      <c r="F917" s="28"/>
    </row>
    <row r="918" spans="1:6" x14ac:dyDescent="0.2">
      <c r="A918" s="27"/>
      <c r="B918" s="27"/>
      <c r="C918" s="27"/>
      <c r="D918" s="35"/>
      <c r="E918" s="28"/>
      <c r="F918" s="28"/>
    </row>
    <row r="919" spans="1:6" x14ac:dyDescent="0.2">
      <c r="A919" s="27"/>
      <c r="B919" s="27"/>
      <c r="C919" s="27"/>
      <c r="D919" s="35"/>
      <c r="E919" s="28"/>
      <c r="F919" s="28"/>
    </row>
    <row r="920" spans="1:6" x14ac:dyDescent="0.2">
      <c r="A920" s="27"/>
      <c r="B920" s="27"/>
      <c r="C920" s="27"/>
      <c r="D920" s="35"/>
      <c r="E920" s="28"/>
      <c r="F920" s="28"/>
    </row>
    <row r="921" spans="1:6" x14ac:dyDescent="0.2">
      <c r="A921" s="27"/>
      <c r="B921" s="27"/>
      <c r="C921" s="27"/>
      <c r="D921" s="35"/>
      <c r="E921" s="28"/>
      <c r="F921" s="28"/>
    </row>
    <row r="922" spans="1:6" x14ac:dyDescent="0.2">
      <c r="A922" s="27"/>
      <c r="B922" s="27"/>
      <c r="C922" s="27"/>
      <c r="D922" s="35"/>
      <c r="E922" s="28"/>
      <c r="F922" s="28"/>
    </row>
    <row r="923" spans="1:6" x14ac:dyDescent="0.2">
      <c r="A923" s="27"/>
      <c r="B923" s="27"/>
      <c r="C923" s="27"/>
      <c r="D923" s="35"/>
      <c r="E923" s="28"/>
      <c r="F923" s="28"/>
    </row>
    <row r="924" spans="1:6" x14ac:dyDescent="0.2">
      <c r="A924" s="27"/>
      <c r="B924" s="27"/>
      <c r="C924" s="27"/>
      <c r="D924" s="35"/>
      <c r="E924" s="28"/>
      <c r="F924" s="28"/>
    </row>
    <row r="925" spans="1:6" x14ac:dyDescent="0.2">
      <c r="A925" s="27"/>
      <c r="B925" s="27"/>
      <c r="C925" s="27"/>
      <c r="D925" s="35"/>
      <c r="E925" s="28"/>
      <c r="F925" s="28"/>
    </row>
    <row r="926" spans="1:6" x14ac:dyDescent="0.2">
      <c r="A926" s="27"/>
      <c r="B926" s="27"/>
      <c r="C926" s="27"/>
      <c r="D926" s="35"/>
      <c r="E926" s="28"/>
      <c r="F926" s="28"/>
    </row>
    <row r="927" spans="1:6" x14ac:dyDescent="0.2">
      <c r="A927" s="27"/>
      <c r="B927" s="27"/>
      <c r="C927" s="27"/>
      <c r="D927" s="35"/>
      <c r="E927" s="28"/>
      <c r="F927" s="28"/>
    </row>
    <row r="928" spans="1:6" x14ac:dyDescent="0.2">
      <c r="A928" s="27"/>
      <c r="B928" s="27"/>
      <c r="C928" s="27"/>
      <c r="D928" s="35"/>
      <c r="E928" s="28"/>
      <c r="F928" s="28"/>
    </row>
    <row r="929" spans="1:6" x14ac:dyDescent="0.2">
      <c r="A929" s="27"/>
      <c r="B929" s="27"/>
      <c r="C929" s="27"/>
      <c r="D929" s="35"/>
      <c r="E929" s="28"/>
      <c r="F929" s="28"/>
    </row>
    <row r="930" spans="1:6" x14ac:dyDescent="0.2">
      <c r="A930" s="27"/>
      <c r="B930" s="27"/>
      <c r="C930" s="27"/>
      <c r="D930" s="35"/>
      <c r="E930" s="28"/>
      <c r="F930" s="28"/>
    </row>
    <row r="931" spans="1:6" x14ac:dyDescent="0.2">
      <c r="A931" s="27"/>
      <c r="B931" s="27"/>
      <c r="C931" s="27"/>
      <c r="D931" s="35"/>
      <c r="E931" s="28"/>
      <c r="F931" s="28"/>
    </row>
    <row r="932" spans="1:6" x14ac:dyDescent="0.2">
      <c r="A932" s="27"/>
      <c r="B932" s="27"/>
      <c r="C932" s="27"/>
      <c r="D932" s="35"/>
      <c r="E932" s="28"/>
      <c r="F932" s="28"/>
    </row>
    <row r="933" spans="1:6" x14ac:dyDescent="0.2">
      <c r="A933" s="27"/>
      <c r="B933" s="27"/>
      <c r="C933" s="27"/>
      <c r="D933" s="35"/>
      <c r="E933" s="28"/>
      <c r="F933" s="28"/>
    </row>
    <row r="934" spans="1:6" x14ac:dyDescent="0.2">
      <c r="A934" s="27"/>
      <c r="B934" s="27"/>
      <c r="C934" s="27"/>
      <c r="D934" s="35"/>
      <c r="E934" s="28"/>
      <c r="F934" s="28"/>
    </row>
    <row r="935" spans="1:6" x14ac:dyDescent="0.2">
      <c r="A935" s="27"/>
      <c r="B935" s="27"/>
      <c r="C935" s="27"/>
      <c r="D935" s="35"/>
      <c r="E935" s="28"/>
      <c r="F935" s="28"/>
    </row>
    <row r="936" spans="1:6" x14ac:dyDescent="0.2">
      <c r="A936" s="27"/>
      <c r="B936" s="27"/>
      <c r="C936" s="27"/>
      <c r="D936" s="35"/>
      <c r="E936" s="28"/>
      <c r="F936" s="28"/>
    </row>
    <row r="937" spans="1:6" x14ac:dyDescent="0.2">
      <c r="A937" s="27"/>
      <c r="B937" s="27"/>
      <c r="C937" s="27"/>
      <c r="D937" s="35"/>
      <c r="E937" s="28"/>
      <c r="F937" s="28"/>
    </row>
    <row r="938" spans="1:6" x14ac:dyDescent="0.2">
      <c r="A938" s="27"/>
      <c r="B938" s="27"/>
      <c r="C938" s="27"/>
      <c r="D938" s="35"/>
      <c r="E938" s="28"/>
      <c r="F938" s="28"/>
    </row>
    <row r="939" spans="1:6" x14ac:dyDescent="0.2">
      <c r="A939" s="27"/>
      <c r="B939" s="27"/>
      <c r="C939" s="27"/>
      <c r="D939" s="35"/>
      <c r="E939" s="28"/>
      <c r="F939" s="28"/>
    </row>
    <row r="940" spans="1:6" x14ac:dyDescent="0.2">
      <c r="A940" s="27"/>
      <c r="B940" s="27"/>
      <c r="C940" s="27"/>
      <c r="D940" s="35"/>
      <c r="E940" s="28"/>
      <c r="F940" s="28"/>
    </row>
    <row r="941" spans="1:6" x14ac:dyDescent="0.2">
      <c r="A941" s="27"/>
      <c r="B941" s="27"/>
      <c r="C941" s="27"/>
      <c r="D941" s="35"/>
      <c r="E941" s="28"/>
      <c r="F941" s="28"/>
    </row>
    <row r="942" spans="1:6" x14ac:dyDescent="0.2">
      <c r="A942" s="27"/>
      <c r="B942" s="27"/>
      <c r="C942" s="27"/>
      <c r="D942" s="35"/>
      <c r="E942" s="28"/>
      <c r="F942" s="28"/>
    </row>
    <row r="943" spans="1:6" x14ac:dyDescent="0.2">
      <c r="A943" s="27"/>
      <c r="B943" s="27"/>
      <c r="C943" s="27"/>
      <c r="D943" s="35"/>
      <c r="E943" s="28"/>
      <c r="F943" s="28"/>
    </row>
    <row r="944" spans="1:6" x14ac:dyDescent="0.2">
      <c r="A944" s="27"/>
      <c r="B944" s="27"/>
      <c r="C944" s="27"/>
      <c r="D944" s="35"/>
      <c r="E944" s="28"/>
      <c r="F944" s="28"/>
    </row>
    <row r="945" spans="1:6" x14ac:dyDescent="0.2">
      <c r="A945" s="27"/>
      <c r="B945" s="27"/>
      <c r="C945" s="27"/>
      <c r="D945" s="35"/>
      <c r="E945" s="28"/>
      <c r="F945" s="28"/>
    </row>
    <row r="946" spans="1:6" x14ac:dyDescent="0.2">
      <c r="A946" s="27"/>
      <c r="B946" s="27"/>
      <c r="C946" s="27"/>
      <c r="D946" s="35"/>
      <c r="E946" s="28"/>
      <c r="F946" s="28"/>
    </row>
    <row r="947" spans="1:6" x14ac:dyDescent="0.2">
      <c r="A947" s="27"/>
      <c r="B947" s="27"/>
      <c r="C947" s="27"/>
      <c r="D947" s="35"/>
      <c r="E947" s="28"/>
      <c r="F947" s="28"/>
    </row>
    <row r="948" spans="1:6" x14ac:dyDescent="0.2">
      <c r="A948" s="27"/>
      <c r="B948" s="27"/>
      <c r="C948" s="27"/>
      <c r="D948" s="35"/>
      <c r="E948" s="28"/>
      <c r="F948" s="28"/>
    </row>
    <row r="949" spans="1:6" x14ac:dyDescent="0.2">
      <c r="A949" s="27"/>
      <c r="B949" s="27"/>
      <c r="C949" s="27"/>
      <c r="D949" s="35"/>
      <c r="E949" s="28"/>
      <c r="F949" s="28"/>
    </row>
    <row r="950" spans="1:6" x14ac:dyDescent="0.2">
      <c r="A950" s="27"/>
      <c r="B950" s="27"/>
      <c r="C950" s="27"/>
      <c r="D950" s="35"/>
      <c r="E950" s="28"/>
      <c r="F950" s="28"/>
    </row>
    <row r="951" spans="1:6" x14ac:dyDescent="0.2">
      <c r="A951" s="27"/>
      <c r="B951" s="27"/>
      <c r="C951" s="27"/>
      <c r="D951" s="35"/>
      <c r="E951" s="28"/>
      <c r="F951" s="28"/>
    </row>
    <row r="952" spans="1:6" x14ac:dyDescent="0.2">
      <c r="A952" s="27"/>
      <c r="B952" s="27"/>
      <c r="C952" s="27"/>
      <c r="D952" s="35"/>
      <c r="E952" s="28"/>
      <c r="F952" s="28"/>
    </row>
    <row r="953" spans="1:6" x14ac:dyDescent="0.2">
      <c r="A953" s="27"/>
      <c r="B953" s="27"/>
      <c r="C953" s="27"/>
      <c r="D953" s="35"/>
      <c r="E953" s="28"/>
      <c r="F953" s="28"/>
    </row>
    <row r="954" spans="1:6" x14ac:dyDescent="0.2">
      <c r="A954" s="27"/>
      <c r="B954" s="27"/>
      <c r="C954" s="27"/>
      <c r="D954" s="35"/>
      <c r="E954" s="28"/>
      <c r="F954" s="28"/>
    </row>
    <row r="955" spans="1:6" x14ac:dyDescent="0.2">
      <c r="A955" s="27"/>
      <c r="B955" s="27"/>
      <c r="C955" s="27"/>
      <c r="D955" s="35"/>
      <c r="E955" s="28"/>
      <c r="F955" s="28"/>
    </row>
    <row r="956" spans="1:6" x14ac:dyDescent="0.2">
      <c r="A956" s="27"/>
      <c r="B956" s="27"/>
      <c r="C956" s="27"/>
      <c r="D956" s="35"/>
      <c r="E956" s="28"/>
      <c r="F956" s="28"/>
    </row>
    <row r="957" spans="1:6" x14ac:dyDescent="0.2">
      <c r="A957" s="27"/>
      <c r="B957" s="27"/>
      <c r="C957" s="27"/>
      <c r="D957" s="35"/>
      <c r="E957" s="28"/>
      <c r="F957" s="28"/>
    </row>
    <row r="958" spans="1:6" x14ac:dyDescent="0.2">
      <c r="A958" s="27"/>
      <c r="B958" s="27"/>
      <c r="C958" s="27"/>
      <c r="D958" s="35"/>
      <c r="E958" s="28"/>
      <c r="F958" s="28"/>
    </row>
    <row r="959" spans="1:6" x14ac:dyDescent="0.2">
      <c r="A959" s="27"/>
      <c r="B959" s="27"/>
      <c r="C959" s="27"/>
      <c r="D959" s="35"/>
      <c r="E959" s="28"/>
      <c r="F959" s="28"/>
    </row>
    <row r="960" spans="1:6" x14ac:dyDescent="0.2">
      <c r="A960" s="27"/>
      <c r="B960" s="27"/>
      <c r="C960" s="27"/>
      <c r="D960" s="35"/>
      <c r="E960" s="28"/>
      <c r="F960" s="28"/>
    </row>
    <row r="961" spans="1:6" x14ac:dyDescent="0.2">
      <c r="A961" s="27"/>
      <c r="B961" s="27"/>
      <c r="C961" s="27"/>
      <c r="D961" s="35"/>
      <c r="E961" s="28"/>
      <c r="F961" s="28"/>
    </row>
    <row r="962" spans="1:6" x14ac:dyDescent="0.2">
      <c r="A962" s="27"/>
      <c r="B962" s="27"/>
      <c r="C962" s="27"/>
      <c r="D962" s="35"/>
      <c r="E962" s="28"/>
      <c r="F962" s="28"/>
    </row>
    <row r="963" spans="1:6" x14ac:dyDescent="0.2">
      <c r="A963" s="27"/>
      <c r="B963" s="27"/>
      <c r="C963" s="27"/>
      <c r="D963" s="35"/>
      <c r="E963" s="28"/>
      <c r="F963" s="28"/>
    </row>
    <row r="964" spans="1:6" x14ac:dyDescent="0.2">
      <c r="A964" s="27"/>
      <c r="B964" s="27"/>
      <c r="C964" s="27"/>
      <c r="D964" s="35"/>
      <c r="E964" s="28"/>
      <c r="F964" s="28"/>
    </row>
    <row r="965" spans="1:6" x14ac:dyDescent="0.2">
      <c r="A965" s="27"/>
      <c r="B965" s="27"/>
      <c r="C965" s="27"/>
      <c r="D965" s="35"/>
      <c r="E965" s="28"/>
      <c r="F965" s="28"/>
    </row>
    <row r="966" spans="1:6" x14ac:dyDescent="0.2">
      <c r="A966" s="27"/>
      <c r="B966" s="27"/>
      <c r="C966" s="27"/>
      <c r="D966" s="35"/>
      <c r="E966" s="28"/>
      <c r="F966" s="28"/>
    </row>
    <row r="967" spans="1:6" x14ac:dyDescent="0.2">
      <c r="A967" s="27"/>
      <c r="B967" s="27"/>
      <c r="C967" s="27"/>
      <c r="D967" s="35"/>
      <c r="E967" s="28"/>
      <c r="F967" s="28"/>
    </row>
    <row r="968" spans="1:6" x14ac:dyDescent="0.2">
      <c r="A968" s="27"/>
      <c r="B968" s="27"/>
      <c r="C968" s="27"/>
      <c r="D968" s="35"/>
      <c r="E968" s="28"/>
      <c r="F968" s="28"/>
    </row>
    <row r="969" spans="1:6" x14ac:dyDescent="0.2">
      <c r="A969" s="27"/>
      <c r="B969" s="27"/>
      <c r="C969" s="27"/>
      <c r="D969" s="35"/>
      <c r="E969" s="28"/>
      <c r="F969" s="28"/>
    </row>
    <row r="970" spans="1:6" x14ac:dyDescent="0.2">
      <c r="A970" s="27"/>
      <c r="B970" s="27"/>
      <c r="C970" s="27"/>
      <c r="D970" s="35"/>
      <c r="E970" s="28"/>
      <c r="F970" s="28"/>
    </row>
    <row r="971" spans="1:6" x14ac:dyDescent="0.2">
      <c r="A971" s="27"/>
      <c r="B971" s="27"/>
      <c r="C971" s="27"/>
      <c r="D971" s="35"/>
      <c r="E971" s="28"/>
      <c r="F971" s="28"/>
    </row>
    <row r="972" spans="1:6" x14ac:dyDescent="0.2">
      <c r="A972" s="27"/>
      <c r="B972" s="27"/>
      <c r="C972" s="27"/>
      <c r="D972" s="35"/>
      <c r="E972" s="28"/>
      <c r="F972" s="28"/>
    </row>
    <row r="973" spans="1:6" x14ac:dyDescent="0.2">
      <c r="A973" s="27"/>
      <c r="B973" s="27"/>
      <c r="C973" s="27"/>
      <c r="D973" s="35"/>
      <c r="E973" s="28"/>
      <c r="F973" s="28"/>
    </row>
    <row r="974" spans="1:6" x14ac:dyDescent="0.2">
      <c r="A974" s="27"/>
      <c r="B974" s="27"/>
      <c r="C974" s="27"/>
      <c r="D974" s="35"/>
      <c r="E974" s="28"/>
      <c r="F974" s="28"/>
    </row>
    <row r="975" spans="1:6" x14ac:dyDescent="0.2">
      <c r="A975" s="27"/>
      <c r="B975" s="27"/>
      <c r="C975" s="27"/>
      <c r="D975" s="35"/>
      <c r="E975" s="28"/>
      <c r="F975" s="28"/>
    </row>
    <row r="976" spans="1:6" x14ac:dyDescent="0.2">
      <c r="A976" s="27"/>
      <c r="B976" s="27"/>
      <c r="C976" s="27"/>
      <c r="D976" s="35"/>
      <c r="E976" s="28"/>
      <c r="F976" s="28"/>
    </row>
    <row r="977" spans="1:6" x14ac:dyDescent="0.2">
      <c r="A977" s="27"/>
      <c r="B977" s="27"/>
      <c r="C977" s="27"/>
      <c r="D977" s="35"/>
      <c r="E977" s="28"/>
      <c r="F977" s="28"/>
    </row>
    <row r="978" spans="1:6" x14ac:dyDescent="0.2">
      <c r="A978" s="27"/>
      <c r="B978" s="27"/>
      <c r="C978" s="27"/>
      <c r="D978" s="35"/>
      <c r="E978" s="28"/>
      <c r="F978" s="28"/>
    </row>
    <row r="979" spans="1:6" x14ac:dyDescent="0.2">
      <c r="A979" s="27"/>
      <c r="B979" s="27"/>
      <c r="C979" s="27"/>
      <c r="D979" s="35"/>
      <c r="E979" s="28"/>
      <c r="F979" s="28"/>
    </row>
    <row r="980" spans="1:6" x14ac:dyDescent="0.2">
      <c r="A980" s="27"/>
      <c r="B980" s="27"/>
      <c r="C980" s="27"/>
      <c r="D980" s="35"/>
      <c r="E980" s="28"/>
      <c r="F980" s="28"/>
    </row>
    <row r="981" spans="1:6" x14ac:dyDescent="0.2">
      <c r="A981" s="27"/>
      <c r="B981" s="27"/>
      <c r="C981" s="27"/>
      <c r="D981" s="35"/>
      <c r="E981" s="28"/>
      <c r="F981" s="28"/>
    </row>
    <row r="982" spans="1:6" x14ac:dyDescent="0.2">
      <c r="A982" s="27"/>
      <c r="B982" s="27"/>
      <c r="C982" s="27"/>
      <c r="D982" s="35"/>
      <c r="E982" s="28"/>
      <c r="F982" s="28"/>
    </row>
    <row r="983" spans="1:6" x14ac:dyDescent="0.2">
      <c r="A983" s="27"/>
      <c r="B983" s="27"/>
      <c r="C983" s="27"/>
      <c r="D983" s="35"/>
      <c r="E983" s="28"/>
      <c r="F983" s="28"/>
    </row>
    <row r="984" spans="1:6" x14ac:dyDescent="0.2">
      <c r="A984" s="27"/>
      <c r="B984" s="27"/>
      <c r="C984" s="27"/>
      <c r="D984" s="35"/>
      <c r="E984" s="28"/>
      <c r="F984" s="28"/>
    </row>
    <row r="985" spans="1:6" x14ac:dyDescent="0.2">
      <c r="A985" s="27"/>
      <c r="B985" s="27"/>
      <c r="C985" s="27"/>
      <c r="D985" s="35"/>
      <c r="E985" s="28"/>
      <c r="F985" s="28"/>
    </row>
    <row r="986" spans="1:6" x14ac:dyDescent="0.2">
      <c r="A986" s="27"/>
      <c r="B986" s="27"/>
      <c r="C986" s="27"/>
      <c r="D986" s="35"/>
      <c r="E986" s="28"/>
      <c r="F986" s="28"/>
    </row>
    <row r="987" spans="1:6" x14ac:dyDescent="0.2">
      <c r="A987" s="27"/>
      <c r="B987" s="27"/>
      <c r="C987" s="27"/>
      <c r="D987" s="35"/>
      <c r="E987" s="28"/>
      <c r="F987" s="28"/>
    </row>
    <row r="988" spans="1:6" x14ac:dyDescent="0.2">
      <c r="A988" s="27"/>
      <c r="B988" s="27"/>
      <c r="C988" s="27"/>
      <c r="D988" s="35"/>
      <c r="E988" s="28"/>
      <c r="F988" s="28"/>
    </row>
    <row r="989" spans="1:6" x14ac:dyDescent="0.2">
      <c r="A989" s="27"/>
      <c r="B989" s="27"/>
      <c r="C989" s="27"/>
      <c r="D989" s="35"/>
      <c r="E989" s="28"/>
      <c r="F989" s="28"/>
    </row>
    <row r="990" spans="1:6" x14ac:dyDescent="0.2">
      <c r="A990" s="27"/>
      <c r="B990" s="27"/>
      <c r="C990" s="27"/>
      <c r="D990" s="35"/>
      <c r="E990" s="28"/>
      <c r="F990" s="28"/>
    </row>
    <row r="991" spans="1:6" x14ac:dyDescent="0.2">
      <c r="A991" s="27"/>
      <c r="B991" s="27"/>
      <c r="C991" s="27"/>
      <c r="D991" s="35"/>
      <c r="E991" s="28"/>
      <c r="F991" s="28"/>
    </row>
    <row r="992" spans="1:6" x14ac:dyDescent="0.2">
      <c r="A992" s="27"/>
      <c r="B992" s="27"/>
      <c r="C992" s="27"/>
      <c r="D992" s="35"/>
      <c r="E992" s="28"/>
      <c r="F992" s="28"/>
    </row>
    <row r="993" spans="1:6" x14ac:dyDescent="0.2">
      <c r="A993" s="27"/>
      <c r="B993" s="27"/>
      <c r="C993" s="27"/>
      <c r="D993" s="35"/>
      <c r="E993" s="28"/>
      <c r="F993" s="28"/>
    </row>
    <row r="994" spans="1:6" x14ac:dyDescent="0.2">
      <c r="A994" s="27"/>
      <c r="B994" s="27"/>
      <c r="C994" s="27"/>
      <c r="D994" s="35"/>
      <c r="E994" s="28"/>
      <c r="F994" s="28"/>
    </row>
    <row r="995" spans="1:6" x14ac:dyDescent="0.2">
      <c r="A995" s="27"/>
      <c r="B995" s="27"/>
      <c r="C995" s="27"/>
      <c r="D995" s="35"/>
      <c r="E995" s="28"/>
      <c r="F995" s="28"/>
    </row>
    <row r="996" spans="1:6" x14ac:dyDescent="0.2">
      <c r="A996" s="27"/>
      <c r="B996" s="27"/>
      <c r="C996" s="27"/>
      <c r="D996" s="35"/>
      <c r="E996" s="28"/>
      <c r="F996" s="28"/>
    </row>
    <row r="997" spans="1:6" x14ac:dyDescent="0.2">
      <c r="A997" s="27"/>
      <c r="B997" s="27"/>
      <c r="C997" s="27"/>
      <c r="D997" s="35"/>
      <c r="E997" s="28"/>
      <c r="F997" s="28"/>
    </row>
    <row r="998" spans="1:6" x14ac:dyDescent="0.2">
      <c r="A998" s="27"/>
      <c r="B998" s="27"/>
      <c r="C998" s="27"/>
      <c r="D998" s="35"/>
      <c r="E998" s="28"/>
      <c r="F998" s="28"/>
    </row>
    <row r="999" spans="1:6" x14ac:dyDescent="0.2">
      <c r="A999" s="27"/>
      <c r="B999" s="27"/>
      <c r="C999" s="27"/>
      <c r="D999" s="35"/>
      <c r="E999" s="28"/>
      <c r="F999" s="28"/>
    </row>
    <row r="1000" spans="1:6" x14ac:dyDescent="0.2">
      <c r="A1000" s="27"/>
      <c r="B1000" s="27"/>
      <c r="C1000" s="27"/>
      <c r="D1000" s="35"/>
      <c r="E1000" s="28"/>
      <c r="F1000" s="28"/>
    </row>
    <row r="1001" spans="1:6" x14ac:dyDescent="0.2">
      <c r="A1001" s="27"/>
      <c r="B1001" s="27"/>
      <c r="C1001" s="27"/>
      <c r="D1001" s="35"/>
      <c r="E1001" s="28"/>
      <c r="F1001" s="28"/>
    </row>
    <row r="1002" spans="1:6" x14ac:dyDescent="0.2">
      <c r="A1002" s="27"/>
      <c r="B1002" s="27"/>
      <c r="C1002" s="27"/>
      <c r="D1002" s="35"/>
      <c r="E1002" s="28"/>
      <c r="F1002" s="28"/>
    </row>
    <row r="1003" spans="1:6" x14ac:dyDescent="0.2">
      <c r="A1003" s="27"/>
      <c r="B1003" s="27"/>
      <c r="C1003" s="27"/>
      <c r="D1003" s="35"/>
      <c r="E1003" s="28"/>
      <c r="F1003" s="28"/>
    </row>
    <row r="1004" spans="1:6" x14ac:dyDescent="0.2">
      <c r="A1004" s="27"/>
      <c r="B1004" s="27"/>
      <c r="C1004" s="27"/>
      <c r="D1004" s="35"/>
      <c r="E1004" s="28"/>
      <c r="F1004" s="28"/>
    </row>
    <row r="1005" spans="1:6" x14ac:dyDescent="0.2">
      <c r="A1005" s="27"/>
      <c r="B1005" s="27"/>
      <c r="C1005" s="27"/>
      <c r="D1005" s="35"/>
      <c r="E1005" s="28"/>
      <c r="F1005" s="28"/>
    </row>
    <row r="1006" spans="1:6" x14ac:dyDescent="0.2">
      <c r="A1006" s="27"/>
      <c r="B1006" s="27"/>
      <c r="C1006" s="27"/>
      <c r="D1006" s="35"/>
      <c r="E1006" s="28"/>
      <c r="F1006" s="28"/>
    </row>
    <row r="1007" spans="1:6" x14ac:dyDescent="0.2">
      <c r="A1007" s="27"/>
      <c r="B1007" s="27"/>
      <c r="C1007" s="27"/>
      <c r="D1007" s="35"/>
      <c r="E1007" s="28"/>
      <c r="F1007" s="28"/>
    </row>
    <row r="1008" spans="1:6" x14ac:dyDescent="0.2">
      <c r="A1008" s="27"/>
      <c r="B1008" s="27"/>
      <c r="C1008" s="27"/>
      <c r="D1008" s="35"/>
      <c r="E1008" s="28"/>
      <c r="F1008" s="28"/>
    </row>
    <row r="1009" spans="1:6" x14ac:dyDescent="0.2">
      <c r="A1009" s="27"/>
      <c r="B1009" s="27"/>
      <c r="C1009" s="27"/>
      <c r="D1009" s="35"/>
      <c r="E1009" s="28"/>
      <c r="F1009" s="28"/>
    </row>
    <row r="1010" spans="1:6" x14ac:dyDescent="0.2">
      <c r="A1010" s="27"/>
      <c r="B1010" s="27"/>
      <c r="C1010" s="27"/>
      <c r="D1010" s="35"/>
      <c r="E1010" s="28"/>
      <c r="F1010" s="28"/>
    </row>
    <row r="1011" spans="1:6" x14ac:dyDescent="0.2">
      <c r="A1011" s="27"/>
      <c r="B1011" s="27"/>
      <c r="C1011" s="27"/>
      <c r="D1011" s="35"/>
      <c r="E1011" s="28"/>
      <c r="F1011" s="28"/>
    </row>
    <row r="1012" spans="1:6" x14ac:dyDescent="0.2">
      <c r="A1012" s="27"/>
      <c r="B1012" s="27"/>
      <c r="C1012" s="27"/>
      <c r="D1012" s="35"/>
      <c r="E1012" s="28"/>
      <c r="F1012" s="28"/>
    </row>
    <row r="1013" spans="1:6" x14ac:dyDescent="0.2">
      <c r="A1013" s="27"/>
      <c r="B1013" s="27"/>
      <c r="C1013" s="27"/>
      <c r="D1013" s="35"/>
      <c r="E1013" s="28"/>
      <c r="F1013" s="28"/>
    </row>
    <row r="1014" spans="1:6" x14ac:dyDescent="0.2">
      <c r="A1014" s="27"/>
      <c r="B1014" s="27"/>
      <c r="C1014" s="27"/>
      <c r="D1014" s="35"/>
      <c r="E1014" s="28"/>
      <c r="F1014" s="28"/>
    </row>
    <row r="1015" spans="1:6" x14ac:dyDescent="0.2">
      <c r="A1015" s="27"/>
      <c r="B1015" s="27"/>
      <c r="C1015" s="27"/>
      <c r="D1015" s="35"/>
      <c r="E1015" s="28"/>
      <c r="F1015" s="28"/>
    </row>
    <row r="1016" spans="1:6" x14ac:dyDescent="0.2">
      <c r="A1016" s="27"/>
      <c r="B1016" s="27"/>
      <c r="C1016" s="27"/>
      <c r="D1016" s="35"/>
      <c r="E1016" s="28"/>
      <c r="F1016" s="28"/>
    </row>
    <row r="1017" spans="1:6" x14ac:dyDescent="0.2">
      <c r="A1017" s="27"/>
      <c r="B1017" s="27"/>
      <c r="C1017" s="27"/>
      <c r="D1017" s="35"/>
      <c r="E1017" s="28"/>
      <c r="F1017" s="28"/>
    </row>
    <row r="1018" spans="1:6" x14ac:dyDescent="0.2">
      <c r="A1018" s="27"/>
      <c r="B1018" s="27"/>
      <c r="C1018" s="27"/>
      <c r="D1018" s="35"/>
      <c r="E1018" s="28"/>
      <c r="F1018" s="28"/>
    </row>
    <row r="1019" spans="1:6" x14ac:dyDescent="0.2">
      <c r="A1019" s="27"/>
      <c r="B1019" s="27"/>
      <c r="C1019" s="27"/>
      <c r="D1019" s="35"/>
      <c r="E1019" s="28"/>
      <c r="F1019" s="28"/>
    </row>
    <row r="1020" spans="1:6" x14ac:dyDescent="0.2">
      <c r="A1020" s="27"/>
      <c r="B1020" s="27"/>
      <c r="C1020" s="27"/>
      <c r="D1020" s="35"/>
      <c r="E1020" s="28"/>
      <c r="F1020" s="28"/>
    </row>
    <row r="1021" spans="1:6" x14ac:dyDescent="0.2">
      <c r="A1021" s="27"/>
      <c r="B1021" s="27"/>
      <c r="C1021" s="27"/>
      <c r="D1021" s="35"/>
      <c r="E1021" s="28"/>
      <c r="F1021" s="28"/>
    </row>
    <row r="1022" spans="1:6" x14ac:dyDescent="0.2">
      <c r="A1022" s="27"/>
      <c r="B1022" s="27"/>
      <c r="C1022" s="27"/>
      <c r="D1022" s="35"/>
      <c r="E1022" s="28"/>
      <c r="F1022" s="28"/>
    </row>
    <row r="1023" spans="1:6" x14ac:dyDescent="0.2">
      <c r="A1023" s="27"/>
      <c r="B1023" s="27"/>
      <c r="C1023" s="27"/>
      <c r="D1023" s="35"/>
      <c r="E1023" s="28"/>
      <c r="F1023" s="28"/>
    </row>
    <row r="1024" spans="1:6" x14ac:dyDescent="0.2">
      <c r="A1024" s="27"/>
      <c r="B1024" s="27"/>
      <c r="C1024" s="27"/>
      <c r="D1024" s="35"/>
      <c r="E1024" s="28"/>
      <c r="F1024" s="28"/>
    </row>
    <row r="1025" spans="1:6" x14ac:dyDescent="0.2">
      <c r="A1025" s="27"/>
      <c r="B1025" s="27"/>
      <c r="C1025" s="27"/>
      <c r="D1025" s="35"/>
      <c r="E1025" s="28"/>
      <c r="F1025" s="28"/>
    </row>
    <row r="1026" spans="1:6" x14ac:dyDescent="0.2">
      <c r="A1026" s="27"/>
      <c r="B1026" s="27"/>
      <c r="C1026" s="27"/>
      <c r="D1026" s="35"/>
      <c r="E1026" s="28"/>
      <c r="F1026" s="28"/>
    </row>
    <row r="1027" spans="1:6" x14ac:dyDescent="0.2">
      <c r="A1027" s="27"/>
      <c r="B1027" s="27"/>
      <c r="C1027" s="27"/>
      <c r="D1027" s="35"/>
      <c r="E1027" s="28"/>
      <c r="F1027" s="28"/>
    </row>
    <row r="1028" spans="1:6" x14ac:dyDescent="0.2">
      <c r="A1028" s="27"/>
      <c r="B1028" s="27"/>
      <c r="C1028" s="27"/>
      <c r="D1028" s="35"/>
      <c r="E1028" s="28"/>
      <c r="F1028" s="28"/>
    </row>
    <row r="1029" spans="1:6" x14ac:dyDescent="0.2">
      <c r="A1029" s="27"/>
      <c r="B1029" s="27"/>
      <c r="C1029" s="27"/>
      <c r="D1029" s="35"/>
      <c r="E1029" s="28"/>
      <c r="F1029" s="28"/>
    </row>
    <row r="1030" spans="1:6" x14ac:dyDescent="0.2">
      <c r="A1030" s="27"/>
      <c r="B1030" s="27"/>
      <c r="C1030" s="27"/>
      <c r="D1030" s="35"/>
      <c r="E1030" s="28"/>
      <c r="F1030" s="28"/>
    </row>
    <row r="1031" spans="1:6" x14ac:dyDescent="0.2">
      <c r="A1031" s="27"/>
      <c r="B1031" s="27"/>
      <c r="C1031" s="27"/>
      <c r="D1031" s="35"/>
      <c r="E1031" s="28"/>
      <c r="F1031" s="28"/>
    </row>
    <row r="1032" spans="1:6" x14ac:dyDescent="0.2">
      <c r="A1032" s="27"/>
      <c r="B1032" s="27"/>
      <c r="C1032" s="27"/>
      <c r="D1032" s="35"/>
      <c r="E1032" s="28"/>
      <c r="F1032" s="28"/>
    </row>
    <row r="1033" spans="1:6" x14ac:dyDescent="0.2">
      <c r="A1033" s="27"/>
      <c r="B1033" s="27"/>
      <c r="C1033" s="27"/>
      <c r="D1033" s="35"/>
      <c r="E1033" s="28"/>
      <c r="F1033" s="28"/>
    </row>
    <row r="1034" spans="1:6" x14ac:dyDescent="0.2">
      <c r="A1034" s="27"/>
      <c r="B1034" s="27"/>
      <c r="C1034" s="27"/>
      <c r="D1034" s="35"/>
      <c r="E1034" s="28"/>
      <c r="F1034" s="28"/>
    </row>
    <row r="1035" spans="1:6" x14ac:dyDescent="0.2">
      <c r="A1035" s="27"/>
      <c r="B1035" s="27"/>
      <c r="C1035" s="27"/>
      <c r="D1035" s="35"/>
      <c r="E1035" s="28"/>
      <c r="F1035" s="28"/>
    </row>
    <row r="1036" spans="1:6" x14ac:dyDescent="0.2">
      <c r="A1036" s="27"/>
      <c r="B1036" s="27"/>
      <c r="C1036" s="27"/>
      <c r="D1036" s="35"/>
      <c r="E1036" s="28"/>
      <c r="F1036" s="28"/>
    </row>
    <row r="1037" spans="1:6" x14ac:dyDescent="0.2">
      <c r="A1037" s="27"/>
      <c r="B1037" s="27"/>
      <c r="C1037" s="27"/>
      <c r="D1037" s="35"/>
      <c r="E1037" s="28"/>
      <c r="F1037" s="28"/>
    </row>
    <row r="1038" spans="1:6" x14ac:dyDescent="0.2">
      <c r="A1038" s="27"/>
      <c r="B1038" s="27"/>
      <c r="C1038" s="27"/>
      <c r="D1038" s="35"/>
      <c r="E1038" s="28"/>
      <c r="F1038" s="28"/>
    </row>
    <row r="1039" spans="1:6" x14ac:dyDescent="0.2">
      <c r="A1039" s="27"/>
      <c r="B1039" s="27"/>
      <c r="C1039" s="27"/>
      <c r="D1039" s="35"/>
      <c r="E1039" s="28"/>
      <c r="F1039" s="28"/>
    </row>
    <row r="1040" spans="1:6" x14ac:dyDescent="0.2">
      <c r="A1040" s="27"/>
      <c r="B1040" s="27"/>
      <c r="C1040" s="27"/>
      <c r="D1040" s="35"/>
      <c r="E1040" s="28"/>
      <c r="F1040" s="28"/>
    </row>
    <row r="1041" spans="1:6" x14ac:dyDescent="0.2">
      <c r="A1041" s="27"/>
      <c r="B1041" s="27"/>
      <c r="C1041" s="27"/>
      <c r="D1041" s="35"/>
      <c r="E1041" s="28"/>
      <c r="F1041" s="28"/>
    </row>
    <row r="1042" spans="1:6" x14ac:dyDescent="0.2">
      <c r="A1042" s="27"/>
      <c r="B1042" s="27"/>
      <c r="C1042" s="27"/>
      <c r="D1042" s="35"/>
      <c r="E1042" s="28"/>
      <c r="F1042" s="28"/>
    </row>
    <row r="1043" spans="1:6" x14ac:dyDescent="0.2">
      <c r="A1043" s="27"/>
      <c r="B1043" s="27"/>
      <c r="C1043" s="27"/>
      <c r="D1043" s="35"/>
      <c r="E1043" s="28"/>
      <c r="F1043" s="28"/>
    </row>
    <row r="1044" spans="1:6" x14ac:dyDescent="0.2">
      <c r="A1044" s="27"/>
      <c r="B1044" s="27"/>
      <c r="C1044" s="27"/>
      <c r="D1044" s="35"/>
      <c r="E1044" s="28"/>
      <c r="F1044" s="28"/>
    </row>
    <row r="1045" spans="1:6" x14ac:dyDescent="0.2">
      <c r="A1045" s="27"/>
      <c r="B1045" s="27"/>
      <c r="C1045" s="27"/>
      <c r="D1045" s="35"/>
      <c r="E1045" s="28"/>
      <c r="F1045" s="28"/>
    </row>
    <row r="1046" spans="1:6" x14ac:dyDescent="0.2">
      <c r="A1046" s="27"/>
      <c r="B1046" s="27"/>
      <c r="C1046" s="27"/>
      <c r="D1046" s="35"/>
      <c r="E1046" s="28"/>
      <c r="F1046" s="28"/>
    </row>
    <row r="1047" spans="1:6" x14ac:dyDescent="0.2">
      <c r="A1047" s="27"/>
      <c r="B1047" s="27"/>
      <c r="C1047" s="27"/>
      <c r="D1047" s="35"/>
      <c r="E1047" s="28"/>
      <c r="F1047" s="28"/>
    </row>
    <row r="1048" spans="1:6" x14ac:dyDescent="0.2">
      <c r="A1048" s="27"/>
      <c r="B1048" s="27"/>
      <c r="C1048" s="27"/>
      <c r="D1048" s="35"/>
      <c r="E1048" s="28"/>
      <c r="F1048" s="28"/>
    </row>
    <row r="1049" spans="1:6" x14ac:dyDescent="0.2">
      <c r="A1049" s="27"/>
      <c r="B1049" s="27"/>
      <c r="C1049" s="27"/>
      <c r="D1049" s="35"/>
      <c r="E1049" s="28"/>
      <c r="F1049" s="28"/>
    </row>
    <row r="1050" spans="1:6" x14ac:dyDescent="0.2">
      <c r="A1050" s="27"/>
      <c r="B1050" s="27"/>
      <c r="C1050" s="27"/>
      <c r="D1050" s="35"/>
      <c r="E1050" s="28"/>
      <c r="F1050" s="28"/>
    </row>
    <row r="1051" spans="1:6" x14ac:dyDescent="0.2">
      <c r="A1051" s="27"/>
      <c r="B1051" s="27"/>
      <c r="C1051" s="27"/>
      <c r="D1051" s="35"/>
      <c r="E1051" s="28"/>
      <c r="F1051" s="28"/>
    </row>
    <row r="1052" spans="1:6" x14ac:dyDescent="0.2">
      <c r="A1052" s="27"/>
      <c r="B1052" s="27"/>
      <c r="C1052" s="27"/>
      <c r="D1052" s="35"/>
      <c r="E1052" s="28"/>
      <c r="F1052" s="28"/>
    </row>
    <row r="1053" spans="1:6" x14ac:dyDescent="0.2">
      <c r="A1053" s="27"/>
      <c r="B1053" s="27"/>
      <c r="C1053" s="27"/>
      <c r="D1053" s="35"/>
      <c r="E1053" s="28"/>
      <c r="F1053" s="28"/>
    </row>
    <row r="1054" spans="1:6" x14ac:dyDescent="0.2">
      <c r="A1054" s="27"/>
      <c r="B1054" s="27"/>
      <c r="C1054" s="27"/>
      <c r="D1054" s="35"/>
      <c r="E1054" s="28"/>
      <c r="F1054" s="28"/>
    </row>
    <row r="1055" spans="1:6" x14ac:dyDescent="0.2">
      <c r="A1055" s="27"/>
      <c r="B1055" s="27"/>
      <c r="C1055" s="27"/>
      <c r="D1055" s="35"/>
      <c r="E1055" s="28"/>
      <c r="F1055" s="28"/>
    </row>
    <row r="1056" spans="1:6" x14ac:dyDescent="0.2">
      <c r="A1056" s="27"/>
      <c r="B1056" s="27"/>
      <c r="C1056" s="27"/>
      <c r="D1056" s="35"/>
      <c r="E1056" s="28"/>
      <c r="F1056" s="28"/>
    </row>
    <row r="1057" spans="1:6" x14ac:dyDescent="0.2">
      <c r="A1057" s="27"/>
      <c r="B1057" s="27"/>
      <c r="C1057" s="27"/>
      <c r="D1057" s="35"/>
      <c r="E1057" s="28"/>
      <c r="F1057" s="28"/>
    </row>
    <row r="1058" spans="1:6" x14ac:dyDescent="0.2">
      <c r="A1058" s="27"/>
      <c r="B1058" s="27"/>
      <c r="C1058" s="27"/>
      <c r="D1058" s="35"/>
      <c r="E1058" s="28"/>
      <c r="F1058" s="28"/>
    </row>
    <row r="1059" spans="1:6" x14ac:dyDescent="0.2">
      <c r="A1059" s="27"/>
      <c r="B1059" s="27"/>
      <c r="C1059" s="27"/>
      <c r="D1059" s="35"/>
      <c r="E1059" s="28"/>
      <c r="F1059" s="28"/>
    </row>
    <row r="1060" spans="1:6" x14ac:dyDescent="0.2">
      <c r="A1060" s="27"/>
      <c r="B1060" s="27"/>
      <c r="C1060" s="27"/>
      <c r="D1060" s="35"/>
      <c r="E1060" s="28"/>
      <c r="F1060" s="28"/>
    </row>
    <row r="1061" spans="1:6" x14ac:dyDescent="0.2">
      <c r="A1061" s="27"/>
      <c r="B1061" s="27"/>
      <c r="C1061" s="27"/>
      <c r="D1061" s="35"/>
      <c r="E1061" s="28"/>
      <c r="F1061" s="28"/>
    </row>
    <row r="1062" spans="1:6" x14ac:dyDescent="0.2">
      <c r="A1062" s="27"/>
      <c r="B1062" s="27"/>
      <c r="C1062" s="27"/>
      <c r="D1062" s="35"/>
      <c r="E1062" s="28"/>
      <c r="F1062" s="28"/>
    </row>
    <row r="1063" spans="1:6" x14ac:dyDescent="0.2">
      <c r="A1063" s="27"/>
      <c r="B1063" s="27"/>
      <c r="C1063" s="27"/>
      <c r="D1063" s="35"/>
      <c r="E1063" s="28"/>
      <c r="F1063" s="28"/>
    </row>
    <row r="1064" spans="1:6" x14ac:dyDescent="0.2">
      <c r="A1064" s="27"/>
      <c r="B1064" s="27"/>
      <c r="C1064" s="27"/>
      <c r="D1064" s="35"/>
      <c r="E1064" s="28"/>
      <c r="F1064" s="28"/>
    </row>
    <row r="1065" spans="1:6" x14ac:dyDescent="0.2">
      <c r="A1065" s="27"/>
      <c r="B1065" s="27"/>
      <c r="C1065" s="27"/>
      <c r="D1065" s="35"/>
      <c r="E1065" s="28"/>
      <c r="F1065" s="28"/>
    </row>
    <row r="1066" spans="1:6" x14ac:dyDescent="0.2">
      <c r="A1066" s="27"/>
      <c r="B1066" s="27"/>
      <c r="C1066" s="27"/>
      <c r="D1066" s="35"/>
      <c r="E1066" s="28"/>
      <c r="F1066" s="28"/>
    </row>
    <row r="1067" spans="1:6" x14ac:dyDescent="0.2">
      <c r="A1067" s="27"/>
      <c r="B1067" s="27"/>
      <c r="C1067" s="27"/>
      <c r="D1067" s="35"/>
      <c r="E1067" s="28"/>
      <c r="F1067" s="28"/>
    </row>
    <row r="1068" spans="1:6" x14ac:dyDescent="0.2">
      <c r="A1068" s="27"/>
      <c r="B1068" s="27"/>
      <c r="C1068" s="27"/>
      <c r="D1068" s="35"/>
      <c r="E1068" s="28"/>
      <c r="F1068" s="28"/>
    </row>
    <row r="1069" spans="1:6" x14ac:dyDescent="0.2">
      <c r="A1069" s="27"/>
      <c r="B1069" s="27"/>
      <c r="C1069" s="27"/>
      <c r="D1069" s="35"/>
      <c r="E1069" s="28"/>
      <c r="F1069" s="28"/>
    </row>
    <row r="1070" spans="1:6" x14ac:dyDescent="0.2">
      <c r="A1070" s="27"/>
      <c r="B1070" s="27"/>
      <c r="C1070" s="27"/>
      <c r="D1070" s="35"/>
      <c r="E1070" s="28"/>
      <c r="F1070" s="28"/>
    </row>
    <row r="1071" spans="1:6" x14ac:dyDescent="0.2">
      <c r="A1071" s="27"/>
      <c r="B1071" s="27"/>
      <c r="C1071" s="27"/>
      <c r="D1071" s="35"/>
      <c r="E1071" s="28"/>
      <c r="F1071" s="28"/>
    </row>
    <row r="1072" spans="1:6" x14ac:dyDescent="0.2">
      <c r="A1072" s="27"/>
      <c r="B1072" s="27"/>
      <c r="C1072" s="27"/>
      <c r="D1072" s="35"/>
      <c r="E1072" s="28"/>
      <c r="F1072" s="28"/>
    </row>
    <row r="1073" spans="1:6" x14ac:dyDescent="0.2">
      <c r="A1073" s="27"/>
      <c r="B1073" s="27"/>
      <c r="C1073" s="27"/>
      <c r="D1073" s="35"/>
      <c r="E1073" s="28"/>
      <c r="F1073" s="28"/>
    </row>
    <row r="1074" spans="1:6" x14ac:dyDescent="0.2">
      <c r="A1074" s="27"/>
      <c r="B1074" s="27"/>
      <c r="C1074" s="27"/>
      <c r="D1074" s="35"/>
      <c r="E1074" s="28"/>
      <c r="F1074" s="28"/>
    </row>
    <row r="1075" spans="1:6" x14ac:dyDescent="0.2">
      <c r="A1075" s="27"/>
      <c r="B1075" s="27"/>
      <c r="C1075" s="27"/>
      <c r="D1075" s="35"/>
      <c r="E1075" s="28"/>
      <c r="F1075" s="28"/>
    </row>
    <row r="1076" spans="1:6" x14ac:dyDescent="0.2">
      <c r="A1076" s="27"/>
      <c r="B1076" s="27"/>
      <c r="C1076" s="27"/>
      <c r="D1076" s="35"/>
      <c r="E1076" s="28"/>
      <c r="F1076" s="28"/>
    </row>
    <row r="1077" spans="1:6" x14ac:dyDescent="0.2">
      <c r="A1077" s="27"/>
      <c r="B1077" s="27"/>
      <c r="C1077" s="27"/>
      <c r="D1077" s="35"/>
      <c r="E1077" s="28"/>
      <c r="F1077" s="28"/>
    </row>
    <row r="1078" spans="1:6" x14ac:dyDescent="0.2">
      <c r="A1078" s="27"/>
      <c r="B1078" s="27"/>
      <c r="C1078" s="27"/>
      <c r="D1078" s="35"/>
      <c r="E1078" s="28"/>
      <c r="F1078" s="28"/>
    </row>
    <row r="1079" spans="1:6" x14ac:dyDescent="0.2">
      <c r="A1079" s="27"/>
      <c r="B1079" s="27"/>
      <c r="C1079" s="27"/>
      <c r="D1079" s="35"/>
      <c r="E1079" s="28"/>
      <c r="F1079" s="28"/>
    </row>
    <row r="1080" spans="1:6" x14ac:dyDescent="0.2">
      <c r="A1080" s="27"/>
      <c r="B1080" s="27"/>
      <c r="C1080" s="27"/>
      <c r="D1080" s="35"/>
      <c r="E1080" s="28"/>
      <c r="F1080" s="28"/>
    </row>
    <row r="1081" spans="1:6" x14ac:dyDescent="0.2">
      <c r="A1081" s="27"/>
      <c r="B1081" s="27"/>
      <c r="C1081" s="27"/>
      <c r="D1081" s="35"/>
      <c r="E1081" s="28"/>
      <c r="F1081" s="28"/>
    </row>
    <row r="1082" spans="1:6" x14ac:dyDescent="0.2">
      <c r="A1082" s="27"/>
      <c r="B1082" s="27"/>
      <c r="C1082" s="27"/>
      <c r="D1082" s="35"/>
      <c r="E1082" s="28"/>
      <c r="F1082" s="28"/>
    </row>
    <row r="1083" spans="1:6" x14ac:dyDescent="0.2">
      <c r="A1083" s="27"/>
      <c r="B1083" s="27"/>
      <c r="C1083" s="27"/>
      <c r="D1083" s="35"/>
      <c r="E1083" s="28"/>
      <c r="F1083" s="28"/>
    </row>
    <row r="1084" spans="1:6" x14ac:dyDescent="0.2">
      <c r="A1084" s="27"/>
      <c r="B1084" s="27"/>
      <c r="C1084" s="27"/>
      <c r="D1084" s="35"/>
      <c r="E1084" s="28"/>
      <c r="F1084" s="28"/>
    </row>
    <row r="1085" spans="1:6" x14ac:dyDescent="0.2">
      <c r="A1085" s="27"/>
      <c r="B1085" s="27"/>
      <c r="C1085" s="27"/>
      <c r="D1085" s="35"/>
      <c r="E1085" s="28"/>
      <c r="F1085" s="28"/>
    </row>
    <row r="1086" spans="1:6" x14ac:dyDescent="0.2">
      <c r="A1086" s="27"/>
      <c r="B1086" s="27"/>
      <c r="C1086" s="27"/>
      <c r="D1086" s="35"/>
      <c r="E1086" s="28"/>
      <c r="F1086" s="28"/>
    </row>
    <row r="1087" spans="1:6" x14ac:dyDescent="0.2">
      <c r="A1087" s="27"/>
      <c r="B1087" s="27"/>
      <c r="C1087" s="27"/>
      <c r="D1087" s="35"/>
      <c r="E1087" s="28"/>
      <c r="F1087" s="28"/>
    </row>
    <row r="1088" spans="1:6" x14ac:dyDescent="0.2">
      <c r="A1088" s="27"/>
      <c r="B1088" s="27"/>
      <c r="C1088" s="27"/>
      <c r="D1088" s="35"/>
      <c r="E1088" s="28"/>
      <c r="F1088" s="28"/>
    </row>
    <row r="1089" spans="1:6" x14ac:dyDescent="0.2">
      <c r="A1089" s="27"/>
      <c r="B1089" s="27"/>
      <c r="C1089" s="27"/>
      <c r="D1089" s="35"/>
      <c r="E1089" s="28"/>
      <c r="F1089" s="28"/>
    </row>
    <row r="1090" spans="1:6" x14ac:dyDescent="0.2">
      <c r="A1090" s="27"/>
      <c r="B1090" s="27"/>
      <c r="C1090" s="27"/>
      <c r="D1090" s="35"/>
      <c r="E1090" s="28"/>
      <c r="F1090" s="28"/>
    </row>
    <row r="1091" spans="1:6" x14ac:dyDescent="0.2">
      <c r="A1091" s="27"/>
      <c r="B1091" s="27"/>
      <c r="C1091" s="27"/>
      <c r="D1091" s="35"/>
      <c r="E1091" s="28"/>
      <c r="F1091" s="28"/>
    </row>
    <row r="1092" spans="1:6" x14ac:dyDescent="0.2">
      <c r="A1092" s="27"/>
      <c r="B1092" s="27"/>
      <c r="C1092" s="27"/>
      <c r="D1092" s="35"/>
      <c r="E1092" s="28"/>
      <c r="F1092" s="28"/>
    </row>
    <row r="1093" spans="1:6" x14ac:dyDescent="0.2">
      <c r="A1093" s="27"/>
      <c r="B1093" s="27"/>
      <c r="C1093" s="27"/>
      <c r="D1093" s="35"/>
      <c r="E1093" s="28"/>
      <c r="F1093" s="28"/>
    </row>
    <row r="1094" spans="1:6" x14ac:dyDescent="0.2">
      <c r="A1094" s="27"/>
      <c r="B1094" s="27"/>
      <c r="C1094" s="27"/>
      <c r="D1094" s="35"/>
      <c r="E1094" s="28"/>
      <c r="F1094" s="28"/>
    </row>
    <row r="1095" spans="1:6" x14ac:dyDescent="0.2">
      <c r="A1095" s="27"/>
      <c r="B1095" s="27"/>
      <c r="C1095" s="27"/>
      <c r="D1095" s="35"/>
      <c r="E1095" s="28"/>
      <c r="F1095" s="28"/>
    </row>
    <row r="1096" spans="1:6" x14ac:dyDescent="0.2">
      <c r="A1096" s="27"/>
      <c r="B1096" s="27"/>
      <c r="C1096" s="27"/>
      <c r="D1096" s="35"/>
      <c r="E1096" s="28"/>
      <c r="F1096" s="28"/>
    </row>
    <row r="1097" spans="1:6" x14ac:dyDescent="0.2">
      <c r="A1097" s="27"/>
      <c r="B1097" s="27"/>
      <c r="C1097" s="27"/>
      <c r="D1097" s="35"/>
      <c r="E1097" s="28"/>
      <c r="F1097" s="28"/>
    </row>
    <row r="1098" spans="1:6" x14ac:dyDescent="0.2">
      <c r="A1098" s="27"/>
      <c r="B1098" s="27"/>
      <c r="C1098" s="27"/>
      <c r="D1098" s="35"/>
      <c r="E1098" s="28"/>
      <c r="F1098" s="28"/>
    </row>
    <row r="1099" spans="1:6" x14ac:dyDescent="0.2">
      <c r="A1099" s="27"/>
      <c r="B1099" s="27"/>
      <c r="C1099" s="27"/>
      <c r="D1099" s="35"/>
      <c r="E1099" s="28"/>
      <c r="F1099" s="28"/>
    </row>
    <row r="1100" spans="1:6" x14ac:dyDescent="0.2">
      <c r="A1100" s="27"/>
      <c r="B1100" s="27"/>
      <c r="C1100" s="27"/>
      <c r="D1100" s="35"/>
      <c r="E1100" s="28"/>
      <c r="F1100" s="28"/>
    </row>
    <row r="1101" spans="1:6" x14ac:dyDescent="0.2">
      <c r="A1101" s="27"/>
      <c r="B1101" s="27"/>
      <c r="C1101" s="27"/>
      <c r="D1101" s="35"/>
      <c r="E1101" s="28"/>
      <c r="F1101" s="28"/>
    </row>
    <row r="1102" spans="1:6" x14ac:dyDescent="0.2">
      <c r="A1102" s="27"/>
      <c r="B1102" s="27"/>
      <c r="C1102" s="27"/>
      <c r="D1102" s="35"/>
      <c r="E1102" s="28"/>
      <c r="F1102" s="28"/>
    </row>
    <row r="1103" spans="1:6" x14ac:dyDescent="0.2">
      <c r="A1103" s="27"/>
      <c r="B1103" s="27"/>
      <c r="C1103" s="27"/>
      <c r="D1103" s="35"/>
      <c r="E1103" s="28"/>
      <c r="F1103" s="28"/>
    </row>
    <row r="1104" spans="1:6" x14ac:dyDescent="0.2">
      <c r="A1104" s="27"/>
      <c r="B1104" s="27"/>
      <c r="C1104" s="27"/>
      <c r="D1104" s="35"/>
      <c r="E1104" s="28"/>
      <c r="F1104" s="28"/>
    </row>
    <row r="1105" spans="1:6" x14ac:dyDescent="0.2">
      <c r="A1105" s="27"/>
      <c r="B1105" s="27"/>
      <c r="C1105" s="27"/>
      <c r="D1105" s="35"/>
      <c r="E1105" s="28"/>
      <c r="F1105" s="28"/>
    </row>
    <row r="1106" spans="1:6" x14ac:dyDescent="0.2">
      <c r="A1106" s="27"/>
      <c r="B1106" s="27"/>
      <c r="C1106" s="27"/>
      <c r="D1106" s="35"/>
      <c r="E1106" s="28"/>
      <c r="F1106" s="28"/>
    </row>
    <row r="1107" spans="1:6" x14ac:dyDescent="0.2">
      <c r="A1107" s="27"/>
      <c r="B1107" s="27"/>
      <c r="C1107" s="27"/>
      <c r="D1107" s="35"/>
      <c r="E1107" s="28"/>
      <c r="F1107" s="28"/>
    </row>
    <row r="1108" spans="1:6" x14ac:dyDescent="0.2">
      <c r="A1108" s="27"/>
      <c r="B1108" s="27"/>
      <c r="C1108" s="27"/>
      <c r="D1108" s="35"/>
      <c r="E1108" s="28"/>
      <c r="F1108" s="28"/>
    </row>
    <row r="1109" spans="1:6" x14ac:dyDescent="0.2">
      <c r="A1109" s="27"/>
      <c r="B1109" s="27"/>
      <c r="C1109" s="27"/>
      <c r="D1109" s="35"/>
      <c r="E1109" s="28"/>
      <c r="F1109" s="28"/>
    </row>
    <row r="1110" spans="1:6" x14ac:dyDescent="0.2">
      <c r="A1110" s="27"/>
      <c r="B1110" s="27"/>
      <c r="C1110" s="27"/>
      <c r="D1110" s="35"/>
      <c r="E1110" s="28"/>
      <c r="F1110" s="28"/>
    </row>
    <row r="1111" spans="1:6" x14ac:dyDescent="0.2">
      <c r="A1111" s="27"/>
      <c r="B1111" s="27"/>
      <c r="C1111" s="27"/>
      <c r="D1111" s="35"/>
      <c r="E1111" s="28"/>
      <c r="F1111" s="28"/>
    </row>
    <row r="1112" spans="1:6" x14ac:dyDescent="0.2">
      <c r="A1112" s="27"/>
      <c r="B1112" s="27"/>
      <c r="C1112" s="27"/>
      <c r="D1112" s="35"/>
      <c r="E1112" s="28"/>
      <c r="F1112" s="28"/>
    </row>
    <row r="1113" spans="1:6" x14ac:dyDescent="0.2">
      <c r="A1113" s="27"/>
      <c r="B1113" s="27"/>
      <c r="C1113" s="27"/>
      <c r="D1113" s="35"/>
      <c r="E1113" s="28"/>
      <c r="F1113" s="28"/>
    </row>
    <row r="1114" spans="1:6" x14ac:dyDescent="0.2">
      <c r="A1114" s="27"/>
      <c r="B1114" s="27"/>
      <c r="C1114" s="27"/>
      <c r="D1114" s="35"/>
      <c r="E1114" s="28"/>
      <c r="F1114" s="28"/>
    </row>
    <row r="1115" spans="1:6" x14ac:dyDescent="0.2">
      <c r="A1115" s="27"/>
      <c r="B1115" s="27"/>
      <c r="C1115" s="27"/>
      <c r="D1115" s="35"/>
      <c r="E1115" s="28"/>
      <c r="F1115" s="28"/>
    </row>
    <row r="1116" spans="1:6" x14ac:dyDescent="0.2">
      <c r="A1116" s="27"/>
      <c r="B1116" s="27"/>
      <c r="C1116" s="27"/>
      <c r="D1116" s="35"/>
      <c r="E1116" s="28"/>
      <c r="F1116" s="28"/>
    </row>
    <row r="1117" spans="1:6" x14ac:dyDescent="0.2">
      <c r="A1117" s="27"/>
      <c r="B1117" s="27"/>
      <c r="C1117" s="27"/>
      <c r="D1117" s="35"/>
      <c r="E1117" s="28"/>
      <c r="F1117" s="28"/>
    </row>
    <row r="1118" spans="1:6" x14ac:dyDescent="0.2">
      <c r="A1118" s="27"/>
      <c r="B1118" s="27"/>
      <c r="C1118" s="27"/>
      <c r="D1118" s="35"/>
      <c r="E1118" s="28"/>
      <c r="F1118" s="28"/>
    </row>
    <row r="1119" spans="1:6" x14ac:dyDescent="0.2">
      <c r="A1119" s="27"/>
      <c r="B1119" s="27"/>
      <c r="C1119" s="27"/>
      <c r="D1119" s="35"/>
      <c r="E1119" s="28"/>
      <c r="F1119" s="28"/>
    </row>
    <row r="1120" spans="1:6" x14ac:dyDescent="0.2">
      <c r="A1120" s="27"/>
      <c r="B1120" s="27"/>
      <c r="C1120" s="27"/>
      <c r="D1120" s="35"/>
      <c r="E1120" s="28"/>
      <c r="F1120" s="28"/>
    </row>
    <row r="1121" spans="1:6" x14ac:dyDescent="0.2">
      <c r="A1121" s="27"/>
      <c r="B1121" s="27"/>
      <c r="C1121" s="27"/>
      <c r="D1121" s="35"/>
      <c r="E1121" s="28"/>
      <c r="F1121" s="28"/>
    </row>
    <row r="1122" spans="1:6" x14ac:dyDescent="0.2">
      <c r="A1122" s="27"/>
      <c r="B1122" s="27"/>
      <c r="C1122" s="27"/>
      <c r="D1122" s="35"/>
      <c r="E1122" s="28"/>
      <c r="F1122" s="28"/>
    </row>
    <row r="1123" spans="1:6" x14ac:dyDescent="0.2">
      <c r="A1123" s="27"/>
      <c r="B1123" s="27"/>
      <c r="C1123" s="27"/>
      <c r="D1123" s="35"/>
      <c r="E1123" s="28"/>
      <c r="F1123" s="28"/>
    </row>
    <row r="1124" spans="1:6" x14ac:dyDescent="0.2">
      <c r="A1124" s="27"/>
      <c r="B1124" s="27"/>
      <c r="C1124" s="27"/>
      <c r="D1124" s="35"/>
      <c r="E1124" s="28"/>
      <c r="F1124" s="28"/>
    </row>
    <row r="1125" spans="1:6" x14ac:dyDescent="0.2">
      <c r="A1125" s="27"/>
      <c r="B1125" s="27"/>
      <c r="C1125" s="27"/>
      <c r="D1125" s="35"/>
      <c r="E1125" s="28"/>
      <c r="F1125" s="28"/>
    </row>
    <row r="1126" spans="1:6" x14ac:dyDescent="0.2">
      <c r="A1126" s="27"/>
      <c r="B1126" s="27"/>
      <c r="C1126" s="27"/>
      <c r="D1126" s="35"/>
      <c r="E1126" s="28"/>
      <c r="F1126" s="28"/>
    </row>
    <row r="1127" spans="1:6" x14ac:dyDescent="0.2">
      <c r="A1127" s="27"/>
      <c r="B1127" s="27"/>
      <c r="C1127" s="27"/>
      <c r="D1127" s="35"/>
      <c r="E1127" s="28"/>
      <c r="F1127" s="28"/>
    </row>
    <row r="1128" spans="1:6" x14ac:dyDescent="0.2">
      <c r="A1128" s="27"/>
      <c r="B1128" s="27"/>
      <c r="C1128" s="27"/>
      <c r="D1128" s="35"/>
      <c r="E1128" s="28"/>
      <c r="F1128" s="28"/>
    </row>
    <row r="1129" spans="1:6" x14ac:dyDescent="0.2">
      <c r="A1129" s="27"/>
      <c r="B1129" s="27"/>
      <c r="C1129" s="27"/>
      <c r="D1129" s="35"/>
      <c r="E1129" s="28"/>
      <c r="F1129" s="28"/>
    </row>
    <row r="1130" spans="1:6" x14ac:dyDescent="0.2">
      <c r="A1130" s="27"/>
      <c r="B1130" s="27"/>
      <c r="C1130" s="27"/>
      <c r="D1130" s="35"/>
      <c r="E1130" s="28"/>
      <c r="F1130" s="28"/>
    </row>
    <row r="1131" spans="1:6" x14ac:dyDescent="0.2">
      <c r="A1131" s="27"/>
      <c r="B1131" s="27"/>
      <c r="C1131" s="27"/>
      <c r="D1131" s="35"/>
      <c r="E1131" s="28"/>
      <c r="F1131" s="28"/>
    </row>
    <row r="1132" spans="1:6" x14ac:dyDescent="0.2">
      <c r="A1132" s="27"/>
      <c r="B1132" s="27"/>
      <c r="C1132" s="27"/>
      <c r="D1132" s="35"/>
      <c r="E1132" s="28"/>
      <c r="F1132" s="28"/>
    </row>
    <row r="1133" spans="1:6" x14ac:dyDescent="0.2">
      <c r="A1133" s="27"/>
      <c r="B1133" s="27"/>
      <c r="C1133" s="27"/>
      <c r="D1133" s="35"/>
      <c r="E1133" s="28"/>
      <c r="F1133" s="28"/>
    </row>
    <row r="1134" spans="1:6" x14ac:dyDescent="0.2">
      <c r="A1134" s="27"/>
      <c r="B1134" s="27"/>
      <c r="C1134" s="27"/>
      <c r="D1134" s="35"/>
      <c r="E1134" s="28"/>
      <c r="F1134" s="28"/>
    </row>
    <row r="1135" spans="1:6" x14ac:dyDescent="0.2">
      <c r="A1135" s="27"/>
      <c r="B1135" s="27"/>
      <c r="C1135" s="27"/>
      <c r="D1135" s="35"/>
      <c r="E1135" s="28"/>
      <c r="F1135" s="28"/>
    </row>
    <row r="1136" spans="1:6" x14ac:dyDescent="0.2">
      <c r="A1136" s="27"/>
      <c r="B1136" s="27"/>
      <c r="C1136" s="27"/>
      <c r="D1136" s="35"/>
      <c r="E1136" s="28"/>
      <c r="F1136" s="28"/>
    </row>
    <row r="1137" spans="1:6" x14ac:dyDescent="0.2">
      <c r="A1137" s="27"/>
      <c r="B1137" s="27"/>
      <c r="C1137" s="27"/>
      <c r="D1137" s="35"/>
      <c r="E1137" s="28"/>
      <c r="F1137" s="28"/>
    </row>
    <row r="1138" spans="1:6" x14ac:dyDescent="0.2">
      <c r="A1138" s="27"/>
      <c r="B1138" s="27"/>
      <c r="C1138" s="27"/>
      <c r="D1138" s="35"/>
      <c r="E1138" s="28"/>
      <c r="F1138" s="28"/>
    </row>
    <row r="1139" spans="1:6" x14ac:dyDescent="0.2">
      <c r="A1139" s="27"/>
      <c r="B1139" s="27"/>
      <c r="C1139" s="27"/>
      <c r="D1139" s="35"/>
      <c r="E1139" s="28"/>
      <c r="F1139" s="28"/>
    </row>
    <row r="1140" spans="1:6" x14ac:dyDescent="0.2">
      <c r="A1140" s="27"/>
      <c r="B1140" s="27"/>
      <c r="C1140" s="27"/>
      <c r="D1140" s="35"/>
      <c r="E1140" s="28"/>
      <c r="F1140" s="28"/>
    </row>
    <row r="1141" spans="1:6" x14ac:dyDescent="0.2">
      <c r="A1141" s="27"/>
      <c r="B1141" s="27"/>
      <c r="C1141" s="27"/>
      <c r="D1141" s="35"/>
      <c r="E1141" s="28"/>
      <c r="F1141" s="28"/>
    </row>
    <row r="1142" spans="1:6" x14ac:dyDescent="0.2">
      <c r="A1142" s="27"/>
      <c r="B1142" s="27"/>
      <c r="C1142" s="27"/>
      <c r="D1142" s="35"/>
      <c r="E1142" s="28"/>
      <c r="F1142" s="28"/>
    </row>
    <row r="1143" spans="1:6" x14ac:dyDescent="0.2">
      <c r="A1143" s="27"/>
      <c r="B1143" s="27"/>
      <c r="C1143" s="27"/>
      <c r="D1143" s="35"/>
      <c r="E1143" s="28"/>
      <c r="F1143" s="28"/>
    </row>
    <row r="1144" spans="1:6" x14ac:dyDescent="0.2">
      <c r="A1144" s="27"/>
      <c r="B1144" s="27"/>
      <c r="C1144" s="27"/>
      <c r="D1144" s="35"/>
      <c r="E1144" s="28"/>
      <c r="F1144" s="28"/>
    </row>
    <row r="1145" spans="1:6" x14ac:dyDescent="0.2">
      <c r="A1145" s="27"/>
      <c r="B1145" s="27"/>
      <c r="C1145" s="27"/>
      <c r="D1145" s="35"/>
      <c r="E1145" s="28"/>
      <c r="F1145" s="28"/>
    </row>
    <row r="1146" spans="1:6" x14ac:dyDescent="0.2">
      <c r="A1146" s="27"/>
      <c r="B1146" s="27"/>
      <c r="C1146" s="27"/>
      <c r="D1146" s="35"/>
      <c r="E1146" s="28"/>
      <c r="F1146" s="28"/>
    </row>
    <row r="1147" spans="1:6" x14ac:dyDescent="0.2">
      <c r="A1147" s="27"/>
      <c r="B1147" s="27"/>
      <c r="C1147" s="27"/>
      <c r="D1147" s="35"/>
      <c r="E1147" s="28"/>
      <c r="F1147" s="28"/>
    </row>
    <row r="1148" spans="1:6" x14ac:dyDescent="0.2">
      <c r="A1148" s="27"/>
      <c r="B1148" s="27"/>
      <c r="C1148" s="27"/>
      <c r="D1148" s="35"/>
      <c r="E1148" s="28"/>
      <c r="F1148" s="28"/>
    </row>
    <row r="1149" spans="1:6" x14ac:dyDescent="0.2">
      <c r="A1149" s="27"/>
      <c r="B1149" s="27"/>
      <c r="C1149" s="27"/>
      <c r="D1149" s="35"/>
      <c r="E1149" s="28"/>
      <c r="F1149" s="28"/>
    </row>
    <row r="1150" spans="1:6" x14ac:dyDescent="0.2">
      <c r="A1150" s="27"/>
      <c r="B1150" s="27"/>
      <c r="C1150" s="27"/>
      <c r="D1150" s="35"/>
      <c r="E1150" s="28"/>
      <c r="F1150" s="28"/>
    </row>
    <row r="1151" spans="1:6" x14ac:dyDescent="0.2">
      <c r="A1151" s="27"/>
      <c r="B1151" s="27"/>
      <c r="C1151" s="27"/>
      <c r="D1151" s="35"/>
      <c r="E1151" s="28"/>
      <c r="F1151" s="28"/>
    </row>
    <row r="1152" spans="1:6" x14ac:dyDescent="0.2">
      <c r="A1152" s="27"/>
      <c r="B1152" s="27"/>
      <c r="C1152" s="27"/>
      <c r="D1152" s="35"/>
      <c r="E1152" s="28"/>
      <c r="F1152" s="28"/>
    </row>
    <row r="1153" spans="1:6" x14ac:dyDescent="0.2">
      <c r="A1153" s="27"/>
      <c r="B1153" s="27"/>
      <c r="C1153" s="27"/>
      <c r="D1153" s="35"/>
      <c r="E1153" s="28"/>
      <c r="F1153" s="28"/>
    </row>
    <row r="1154" spans="1:6" x14ac:dyDescent="0.2">
      <c r="A1154" s="27"/>
      <c r="B1154" s="27"/>
      <c r="C1154" s="27"/>
      <c r="D1154" s="35"/>
      <c r="E1154" s="28"/>
      <c r="F1154" s="28"/>
    </row>
    <row r="1155" spans="1:6" x14ac:dyDescent="0.2">
      <c r="A1155" s="27"/>
      <c r="B1155" s="27"/>
      <c r="C1155" s="27"/>
      <c r="D1155" s="35"/>
      <c r="E1155" s="28"/>
      <c r="F1155" s="28"/>
    </row>
    <row r="1156" spans="1:6" x14ac:dyDescent="0.2">
      <c r="A1156" s="27"/>
      <c r="B1156" s="27"/>
      <c r="C1156" s="27"/>
      <c r="D1156" s="35"/>
      <c r="E1156" s="28"/>
      <c r="F1156" s="28"/>
    </row>
    <row r="1157" spans="1:6" x14ac:dyDescent="0.2">
      <c r="A1157" s="27"/>
      <c r="B1157" s="27"/>
      <c r="C1157" s="27"/>
      <c r="D1157" s="35"/>
      <c r="E1157" s="28"/>
      <c r="F1157" s="28"/>
    </row>
    <row r="1158" spans="1:6" x14ac:dyDescent="0.2">
      <c r="A1158" s="27"/>
      <c r="B1158" s="27"/>
      <c r="C1158" s="27"/>
      <c r="D1158" s="35"/>
      <c r="E1158" s="28"/>
      <c r="F1158" s="28"/>
    </row>
    <row r="1159" spans="1:6" x14ac:dyDescent="0.2">
      <c r="A1159" s="27"/>
      <c r="B1159" s="27"/>
      <c r="C1159" s="27"/>
      <c r="D1159" s="35"/>
      <c r="E1159" s="28"/>
      <c r="F1159" s="28"/>
    </row>
    <row r="1160" spans="1:6" x14ac:dyDescent="0.2">
      <c r="A1160" s="27"/>
      <c r="B1160" s="27"/>
      <c r="C1160" s="27"/>
      <c r="D1160" s="35"/>
      <c r="E1160" s="28"/>
      <c r="F1160" s="28"/>
    </row>
    <row r="1161" spans="1:6" x14ac:dyDescent="0.2">
      <c r="A1161" s="27"/>
      <c r="B1161" s="27"/>
      <c r="C1161" s="27"/>
      <c r="D1161" s="35"/>
      <c r="E1161" s="28"/>
      <c r="F1161" s="28"/>
    </row>
    <row r="1162" spans="1:6" x14ac:dyDescent="0.2">
      <c r="A1162" s="27"/>
      <c r="B1162" s="27"/>
      <c r="C1162" s="27"/>
      <c r="D1162" s="35"/>
      <c r="E1162" s="28"/>
      <c r="F1162" s="28"/>
    </row>
    <row r="1163" spans="1:6" x14ac:dyDescent="0.2">
      <c r="A1163" s="27"/>
      <c r="B1163" s="27"/>
      <c r="C1163" s="27"/>
      <c r="D1163" s="35"/>
      <c r="E1163" s="28"/>
      <c r="F1163" s="28"/>
    </row>
    <row r="1164" spans="1:6" x14ac:dyDescent="0.2">
      <c r="A1164" s="27"/>
      <c r="B1164" s="27"/>
      <c r="C1164" s="27"/>
      <c r="D1164" s="35"/>
      <c r="E1164" s="28"/>
      <c r="F1164" s="28"/>
    </row>
    <row r="1165" spans="1:6" x14ac:dyDescent="0.2">
      <c r="A1165" s="27"/>
      <c r="B1165" s="27"/>
      <c r="C1165" s="27"/>
      <c r="D1165" s="35"/>
      <c r="E1165" s="28"/>
      <c r="F1165" s="28"/>
    </row>
    <row r="1166" spans="1:6" x14ac:dyDescent="0.2">
      <c r="A1166" s="27"/>
      <c r="B1166" s="27"/>
      <c r="C1166" s="27"/>
      <c r="D1166" s="35"/>
      <c r="E1166" s="28"/>
      <c r="F1166" s="28"/>
    </row>
    <row r="1167" spans="1:6" x14ac:dyDescent="0.2">
      <c r="A1167" s="27"/>
      <c r="B1167" s="27"/>
      <c r="C1167" s="27"/>
      <c r="D1167" s="35"/>
      <c r="E1167" s="28"/>
      <c r="F1167" s="28"/>
    </row>
    <row r="1168" spans="1:6" x14ac:dyDescent="0.2">
      <c r="A1168" s="27"/>
      <c r="B1168" s="27"/>
      <c r="C1168" s="27"/>
      <c r="D1168" s="35"/>
      <c r="E1168" s="28"/>
      <c r="F1168" s="28"/>
    </row>
    <row r="1169" spans="1:6" x14ac:dyDescent="0.2">
      <c r="A1169" s="27"/>
      <c r="B1169" s="27"/>
      <c r="C1169" s="27"/>
      <c r="D1169" s="35"/>
      <c r="E1169" s="28"/>
      <c r="F1169" s="28"/>
    </row>
    <row r="1170" spans="1:6" x14ac:dyDescent="0.2">
      <c r="A1170" s="27"/>
      <c r="B1170" s="27"/>
      <c r="C1170" s="27"/>
      <c r="D1170" s="35"/>
      <c r="E1170" s="28"/>
      <c r="F1170" s="28"/>
    </row>
    <row r="1171" spans="1:6" x14ac:dyDescent="0.2">
      <c r="A1171" s="27"/>
      <c r="B1171" s="27"/>
      <c r="C1171" s="27"/>
      <c r="D1171" s="35"/>
      <c r="E1171" s="28"/>
      <c r="F1171" s="28"/>
    </row>
    <row r="1172" spans="1:6" x14ac:dyDescent="0.2">
      <c r="A1172" s="27"/>
      <c r="B1172" s="27"/>
      <c r="C1172" s="27"/>
      <c r="D1172" s="35"/>
      <c r="E1172" s="28"/>
      <c r="F1172" s="28"/>
    </row>
    <row r="1173" spans="1:6" x14ac:dyDescent="0.2">
      <c r="A1173" s="27"/>
      <c r="B1173" s="27"/>
      <c r="C1173" s="27"/>
      <c r="D1173" s="35"/>
      <c r="E1173" s="28"/>
      <c r="F1173" s="28"/>
    </row>
    <row r="1174" spans="1:6" x14ac:dyDescent="0.2">
      <c r="A1174" s="27"/>
      <c r="B1174" s="27"/>
      <c r="C1174" s="27"/>
      <c r="D1174" s="35"/>
      <c r="E1174" s="28"/>
      <c r="F1174" s="28"/>
    </row>
    <row r="1175" spans="1:6" x14ac:dyDescent="0.2">
      <c r="A1175" s="27"/>
      <c r="B1175" s="27"/>
      <c r="C1175" s="27"/>
      <c r="D1175" s="35"/>
      <c r="E1175" s="28"/>
      <c r="F1175" s="28"/>
    </row>
    <row r="1176" spans="1:6" x14ac:dyDescent="0.2">
      <c r="A1176" s="27"/>
      <c r="B1176" s="27"/>
      <c r="C1176" s="27"/>
      <c r="D1176" s="35"/>
      <c r="E1176" s="28"/>
      <c r="F1176" s="28"/>
    </row>
    <row r="1177" spans="1:6" x14ac:dyDescent="0.2">
      <c r="A1177" s="27"/>
      <c r="B1177" s="27"/>
      <c r="C1177" s="27"/>
      <c r="D1177" s="35"/>
      <c r="E1177" s="28"/>
      <c r="F1177" s="28"/>
    </row>
    <row r="1178" spans="1:6" x14ac:dyDescent="0.2">
      <c r="A1178" s="27"/>
      <c r="B1178" s="27"/>
      <c r="C1178" s="27"/>
      <c r="D1178" s="35"/>
      <c r="E1178" s="28"/>
      <c r="F1178" s="28"/>
    </row>
    <row r="1179" spans="1:6" x14ac:dyDescent="0.2">
      <c r="A1179" s="27"/>
      <c r="B1179" s="27"/>
      <c r="C1179" s="27"/>
      <c r="D1179" s="35"/>
      <c r="E1179" s="28"/>
      <c r="F1179" s="28"/>
    </row>
    <row r="1180" spans="1:6" x14ac:dyDescent="0.2">
      <c r="A1180" s="27"/>
      <c r="B1180" s="27"/>
      <c r="C1180" s="27"/>
      <c r="D1180" s="35"/>
      <c r="E1180" s="28"/>
      <c r="F1180" s="28"/>
    </row>
    <row r="1181" spans="1:6" x14ac:dyDescent="0.2">
      <c r="A1181" s="27"/>
      <c r="B1181" s="27"/>
      <c r="C1181" s="27"/>
      <c r="D1181" s="35"/>
      <c r="E1181" s="28"/>
      <c r="F1181" s="28"/>
    </row>
    <row r="1182" spans="1:6" x14ac:dyDescent="0.2">
      <c r="A1182" s="27"/>
      <c r="B1182" s="27"/>
      <c r="C1182" s="27"/>
      <c r="D1182" s="35"/>
      <c r="E1182" s="28"/>
      <c r="F1182" s="28"/>
    </row>
    <row r="1183" spans="1:6" x14ac:dyDescent="0.2">
      <c r="A1183" s="27"/>
      <c r="B1183" s="27"/>
      <c r="C1183" s="27"/>
      <c r="D1183" s="35"/>
      <c r="E1183" s="28"/>
      <c r="F1183" s="28"/>
    </row>
    <row r="1184" spans="1:6" x14ac:dyDescent="0.2">
      <c r="A1184" s="27"/>
      <c r="B1184" s="27"/>
      <c r="C1184" s="27"/>
      <c r="D1184" s="35"/>
      <c r="E1184" s="28"/>
      <c r="F1184" s="28"/>
    </row>
    <row r="1185" spans="1:6" x14ac:dyDescent="0.2">
      <c r="A1185" s="27"/>
      <c r="B1185" s="27"/>
      <c r="C1185" s="27"/>
      <c r="D1185" s="35"/>
      <c r="E1185" s="28"/>
      <c r="F1185" s="28"/>
    </row>
    <row r="1186" spans="1:6" x14ac:dyDescent="0.2">
      <c r="A1186" s="27"/>
      <c r="B1186" s="27"/>
      <c r="C1186" s="27"/>
      <c r="D1186" s="35"/>
      <c r="E1186" s="28"/>
      <c r="F1186" s="28"/>
    </row>
    <row r="1187" spans="1:6" x14ac:dyDescent="0.2">
      <c r="A1187" s="27"/>
      <c r="B1187" s="27"/>
      <c r="C1187" s="27"/>
      <c r="D1187" s="35"/>
      <c r="E1187" s="28"/>
      <c r="F1187" s="28"/>
    </row>
    <row r="1188" spans="1:6" x14ac:dyDescent="0.2">
      <c r="A1188" s="27"/>
      <c r="B1188" s="27"/>
      <c r="C1188" s="27"/>
      <c r="D1188" s="35"/>
      <c r="E1188" s="28"/>
      <c r="F1188" s="28"/>
    </row>
    <row r="1189" spans="1:6" x14ac:dyDescent="0.2">
      <c r="A1189" s="27"/>
      <c r="B1189" s="27"/>
      <c r="C1189" s="27"/>
      <c r="D1189" s="35"/>
      <c r="E1189" s="28"/>
      <c r="F1189" s="28"/>
    </row>
    <row r="1190" spans="1:6" x14ac:dyDescent="0.2">
      <c r="A1190" s="27"/>
      <c r="B1190" s="27"/>
      <c r="C1190" s="27"/>
      <c r="D1190" s="35"/>
      <c r="E1190" s="28"/>
      <c r="F1190" s="28"/>
    </row>
    <row r="1191" spans="1:6" x14ac:dyDescent="0.2">
      <c r="A1191" s="27"/>
      <c r="B1191" s="27"/>
      <c r="C1191" s="27"/>
      <c r="D1191" s="35"/>
      <c r="E1191" s="28"/>
      <c r="F1191" s="28"/>
    </row>
    <row r="1192" spans="1:6" x14ac:dyDescent="0.2">
      <c r="A1192" s="27"/>
      <c r="B1192" s="27"/>
      <c r="C1192" s="27"/>
      <c r="D1192" s="35"/>
      <c r="E1192" s="28"/>
      <c r="F1192" s="28"/>
    </row>
    <row r="1193" spans="1:6" x14ac:dyDescent="0.2">
      <c r="A1193" s="27"/>
      <c r="B1193" s="27"/>
      <c r="C1193" s="27"/>
      <c r="D1193" s="35"/>
      <c r="E1193" s="28"/>
      <c r="F1193" s="28"/>
    </row>
    <row r="1194" spans="1:6" x14ac:dyDescent="0.2">
      <c r="A1194" s="27"/>
      <c r="B1194" s="27"/>
      <c r="C1194" s="27"/>
      <c r="D1194" s="35"/>
      <c r="E1194" s="28"/>
      <c r="F1194" s="28"/>
    </row>
    <row r="1195" spans="1:6" x14ac:dyDescent="0.2">
      <c r="A1195" s="27"/>
      <c r="B1195" s="27"/>
      <c r="C1195" s="27"/>
      <c r="D1195" s="35"/>
      <c r="E1195" s="28"/>
      <c r="F1195" s="28"/>
    </row>
    <row r="1196" spans="1:6" x14ac:dyDescent="0.2">
      <c r="A1196" s="27"/>
      <c r="B1196" s="27"/>
      <c r="C1196" s="27"/>
      <c r="D1196" s="35"/>
      <c r="E1196" s="28"/>
      <c r="F1196" s="28"/>
    </row>
    <row r="1197" spans="1:6" x14ac:dyDescent="0.2">
      <c r="A1197" s="27"/>
      <c r="B1197" s="27"/>
      <c r="C1197" s="27"/>
      <c r="D1197" s="35"/>
      <c r="E1197" s="28"/>
      <c r="F1197" s="28"/>
    </row>
    <row r="1198" spans="1:6" x14ac:dyDescent="0.2">
      <c r="A1198" s="27"/>
      <c r="B1198" s="27"/>
      <c r="C1198" s="27"/>
      <c r="D1198" s="35"/>
      <c r="E1198" s="28"/>
      <c r="F1198" s="28"/>
    </row>
    <row r="1199" spans="1:6" x14ac:dyDescent="0.2">
      <c r="A1199" s="27"/>
      <c r="B1199" s="27"/>
      <c r="C1199" s="27"/>
      <c r="D1199" s="35"/>
      <c r="E1199" s="28"/>
      <c r="F1199" s="28"/>
    </row>
    <row r="1200" spans="1:6" x14ac:dyDescent="0.2">
      <c r="A1200" s="27"/>
      <c r="B1200" s="27"/>
      <c r="C1200" s="27"/>
      <c r="D1200" s="35"/>
      <c r="E1200" s="28"/>
      <c r="F1200" s="28"/>
    </row>
    <row r="1201" spans="1:6" x14ac:dyDescent="0.2">
      <c r="A1201" s="27"/>
      <c r="B1201" s="27"/>
      <c r="C1201" s="27"/>
      <c r="D1201" s="35"/>
      <c r="E1201" s="28"/>
      <c r="F1201" s="28"/>
    </row>
    <row r="1202" spans="1:6" x14ac:dyDescent="0.2">
      <c r="A1202" s="27"/>
      <c r="B1202" s="27"/>
      <c r="C1202" s="27"/>
      <c r="D1202" s="35"/>
      <c r="E1202" s="28"/>
      <c r="F1202" s="28"/>
    </row>
    <row r="1203" spans="1:6" x14ac:dyDescent="0.2">
      <c r="A1203" s="27"/>
      <c r="B1203" s="27"/>
      <c r="C1203" s="27"/>
      <c r="D1203" s="35"/>
      <c r="E1203" s="28"/>
      <c r="F1203" s="28"/>
    </row>
    <row r="1204" spans="1:6" x14ac:dyDescent="0.2">
      <c r="A1204" s="27"/>
      <c r="B1204" s="27"/>
      <c r="C1204" s="27"/>
      <c r="D1204" s="35"/>
      <c r="E1204" s="28"/>
      <c r="F1204" s="28"/>
    </row>
    <row r="1205" spans="1:6" x14ac:dyDescent="0.2">
      <c r="A1205" s="27"/>
      <c r="B1205" s="27"/>
      <c r="C1205" s="27"/>
      <c r="D1205" s="35"/>
      <c r="E1205" s="28"/>
      <c r="F1205" s="28"/>
    </row>
    <row r="1206" spans="1:6" x14ac:dyDescent="0.2">
      <c r="A1206" s="27"/>
      <c r="B1206" s="27"/>
      <c r="C1206" s="27"/>
      <c r="D1206" s="35"/>
      <c r="E1206" s="28"/>
      <c r="F1206" s="28"/>
    </row>
    <row r="1207" spans="1:6" x14ac:dyDescent="0.2">
      <c r="A1207" s="27"/>
      <c r="B1207" s="27"/>
      <c r="C1207" s="27"/>
      <c r="D1207" s="35"/>
      <c r="E1207" s="28"/>
      <c r="F1207" s="28"/>
    </row>
    <row r="1208" spans="1:6" x14ac:dyDescent="0.2">
      <c r="A1208" s="27"/>
      <c r="B1208" s="27"/>
      <c r="C1208" s="27"/>
      <c r="D1208" s="35"/>
      <c r="E1208" s="28"/>
      <c r="F1208" s="28"/>
    </row>
    <row r="1209" spans="1:6" x14ac:dyDescent="0.2">
      <c r="A1209" s="27"/>
      <c r="B1209" s="27"/>
      <c r="C1209" s="27"/>
      <c r="D1209" s="35"/>
      <c r="E1209" s="28"/>
      <c r="F1209" s="28"/>
    </row>
    <row r="1210" spans="1:6" x14ac:dyDescent="0.2">
      <c r="A1210" s="27"/>
      <c r="B1210" s="27"/>
      <c r="C1210" s="27"/>
      <c r="D1210" s="35"/>
      <c r="E1210" s="28"/>
      <c r="F1210" s="28"/>
    </row>
    <row r="1211" spans="1:6" x14ac:dyDescent="0.2">
      <c r="A1211" s="27"/>
      <c r="B1211" s="27"/>
      <c r="C1211" s="27"/>
      <c r="D1211" s="35"/>
      <c r="E1211" s="28"/>
      <c r="F1211" s="28"/>
    </row>
    <row r="1212" spans="1:6" x14ac:dyDescent="0.2">
      <c r="A1212" s="27"/>
      <c r="B1212" s="27"/>
      <c r="C1212" s="27"/>
      <c r="D1212" s="35"/>
      <c r="E1212" s="28"/>
      <c r="F1212" s="28"/>
    </row>
    <row r="1213" spans="1:6" x14ac:dyDescent="0.2">
      <c r="A1213" s="27"/>
      <c r="B1213" s="27"/>
      <c r="C1213" s="27"/>
      <c r="D1213" s="35"/>
      <c r="E1213" s="28"/>
      <c r="F1213" s="28"/>
    </row>
    <row r="1214" spans="1:6" x14ac:dyDescent="0.2">
      <c r="A1214" s="27"/>
      <c r="B1214" s="27"/>
      <c r="C1214" s="27"/>
      <c r="D1214" s="35"/>
      <c r="E1214" s="28"/>
      <c r="F1214" s="28"/>
    </row>
    <row r="1215" spans="1:6" x14ac:dyDescent="0.2">
      <c r="A1215" s="27"/>
      <c r="B1215" s="27"/>
      <c r="C1215" s="27"/>
      <c r="D1215" s="35"/>
      <c r="E1215" s="28"/>
      <c r="F1215" s="28"/>
    </row>
    <row r="1216" spans="1:6" x14ac:dyDescent="0.2">
      <c r="A1216" s="27"/>
      <c r="B1216" s="27"/>
      <c r="C1216" s="27"/>
      <c r="D1216" s="35"/>
      <c r="E1216" s="28"/>
      <c r="F1216" s="28"/>
    </row>
    <row r="1217" spans="1:6" x14ac:dyDescent="0.2">
      <c r="A1217" s="27"/>
      <c r="B1217" s="27"/>
      <c r="C1217" s="27"/>
      <c r="D1217" s="35"/>
      <c r="E1217" s="28"/>
      <c r="F1217" s="28"/>
    </row>
    <row r="1218" spans="1:6" x14ac:dyDescent="0.2">
      <c r="A1218" s="27"/>
      <c r="B1218" s="27"/>
      <c r="C1218" s="27"/>
      <c r="D1218" s="35"/>
      <c r="E1218" s="28"/>
      <c r="F1218" s="28"/>
    </row>
    <row r="1219" spans="1:6" x14ac:dyDescent="0.2">
      <c r="A1219" s="27"/>
      <c r="B1219" s="27"/>
      <c r="C1219" s="27"/>
      <c r="D1219" s="35"/>
      <c r="E1219" s="28"/>
      <c r="F1219" s="28"/>
    </row>
    <row r="1220" spans="1:6" x14ac:dyDescent="0.2">
      <c r="A1220" s="27"/>
      <c r="B1220" s="27"/>
      <c r="C1220" s="27"/>
      <c r="D1220" s="35"/>
      <c r="E1220" s="28"/>
      <c r="F1220" s="28"/>
    </row>
    <row r="1221" spans="1:6" x14ac:dyDescent="0.2">
      <c r="A1221" s="27"/>
      <c r="B1221" s="27"/>
      <c r="C1221" s="27"/>
      <c r="D1221" s="35"/>
      <c r="E1221" s="28"/>
      <c r="F1221" s="28"/>
    </row>
    <row r="1222" spans="1:6" x14ac:dyDescent="0.2">
      <c r="A1222" s="27"/>
      <c r="B1222" s="27"/>
      <c r="C1222" s="27"/>
      <c r="D1222" s="35"/>
      <c r="E1222" s="28"/>
      <c r="F1222" s="28"/>
    </row>
    <row r="1223" spans="1:6" x14ac:dyDescent="0.2">
      <c r="A1223" s="27"/>
      <c r="B1223" s="27"/>
      <c r="C1223" s="27"/>
      <c r="D1223" s="35"/>
      <c r="E1223" s="28"/>
      <c r="F1223" s="28"/>
    </row>
    <row r="1224" spans="1:6" x14ac:dyDescent="0.2">
      <c r="A1224" s="27"/>
      <c r="B1224" s="27"/>
      <c r="C1224" s="27"/>
      <c r="D1224" s="35"/>
      <c r="E1224" s="28"/>
      <c r="F1224" s="28"/>
    </row>
    <row r="1225" spans="1:6" x14ac:dyDescent="0.2">
      <c r="A1225" s="27"/>
      <c r="B1225" s="27"/>
      <c r="C1225" s="27"/>
      <c r="D1225" s="35"/>
      <c r="E1225" s="28"/>
      <c r="F1225" s="28"/>
    </row>
    <row r="1226" spans="1:6" x14ac:dyDescent="0.2">
      <c r="A1226" s="27"/>
      <c r="B1226" s="27"/>
      <c r="C1226" s="27"/>
      <c r="D1226" s="35"/>
      <c r="E1226" s="28"/>
      <c r="F1226" s="28"/>
    </row>
    <row r="1227" spans="1:6" x14ac:dyDescent="0.2">
      <c r="A1227" s="27"/>
      <c r="B1227" s="27"/>
      <c r="C1227" s="27"/>
      <c r="D1227" s="35"/>
      <c r="E1227" s="28"/>
      <c r="F1227" s="28"/>
    </row>
    <row r="1228" spans="1:6" x14ac:dyDescent="0.2">
      <c r="A1228" s="27"/>
      <c r="B1228" s="27"/>
      <c r="C1228" s="27"/>
      <c r="D1228" s="35"/>
      <c r="E1228" s="28"/>
      <c r="F1228" s="28"/>
    </row>
    <row r="1229" spans="1:6" x14ac:dyDescent="0.2">
      <c r="A1229" s="27"/>
      <c r="B1229" s="27"/>
      <c r="C1229" s="27"/>
      <c r="D1229" s="35"/>
      <c r="E1229" s="28"/>
      <c r="F1229" s="28"/>
    </row>
    <row r="1230" spans="1:6" x14ac:dyDescent="0.2">
      <c r="A1230" s="27"/>
      <c r="B1230" s="27"/>
      <c r="C1230" s="27"/>
      <c r="D1230" s="35"/>
      <c r="E1230" s="28"/>
      <c r="F1230" s="28"/>
    </row>
    <row r="1231" spans="1:6" x14ac:dyDescent="0.2">
      <c r="A1231" s="27"/>
      <c r="B1231" s="27"/>
      <c r="C1231" s="27"/>
      <c r="D1231" s="35"/>
      <c r="E1231" s="28"/>
      <c r="F1231" s="28"/>
    </row>
    <row r="1232" spans="1:6" x14ac:dyDescent="0.2">
      <c r="A1232" s="27"/>
      <c r="B1232" s="27"/>
      <c r="C1232" s="27"/>
      <c r="D1232" s="35"/>
      <c r="E1232" s="28"/>
      <c r="F1232" s="28"/>
    </row>
    <row r="1233" spans="1:6" x14ac:dyDescent="0.2">
      <c r="A1233" s="27"/>
      <c r="B1233" s="27"/>
      <c r="C1233" s="27"/>
      <c r="D1233" s="35"/>
      <c r="E1233" s="28"/>
      <c r="F1233" s="28"/>
    </row>
    <row r="1234" spans="1:6" x14ac:dyDescent="0.2">
      <c r="A1234" s="27"/>
      <c r="B1234" s="27"/>
      <c r="C1234" s="27"/>
      <c r="D1234" s="35"/>
      <c r="E1234" s="28"/>
      <c r="F1234" s="28"/>
    </row>
    <row r="1235" spans="1:6" x14ac:dyDescent="0.2">
      <c r="A1235" s="27"/>
      <c r="B1235" s="27"/>
      <c r="C1235" s="27"/>
      <c r="D1235" s="35"/>
      <c r="E1235" s="28"/>
      <c r="F1235" s="28"/>
    </row>
    <row r="1236" spans="1:6" x14ac:dyDescent="0.2">
      <c r="A1236" s="27"/>
      <c r="B1236" s="27"/>
      <c r="C1236" s="27"/>
      <c r="D1236" s="35"/>
      <c r="E1236" s="28"/>
      <c r="F1236" s="28"/>
    </row>
    <row r="1237" spans="1:6" x14ac:dyDescent="0.2">
      <c r="A1237" s="27"/>
      <c r="B1237" s="27"/>
      <c r="C1237" s="27"/>
      <c r="D1237" s="35"/>
      <c r="E1237" s="28"/>
      <c r="F1237" s="28"/>
    </row>
    <row r="1238" spans="1:6" x14ac:dyDescent="0.2">
      <c r="A1238" s="27"/>
      <c r="B1238" s="27"/>
      <c r="C1238" s="27"/>
      <c r="D1238" s="35"/>
      <c r="E1238" s="28"/>
      <c r="F1238" s="28"/>
    </row>
    <row r="1239" spans="1:6" x14ac:dyDescent="0.2">
      <c r="A1239" s="27"/>
      <c r="B1239" s="27"/>
      <c r="C1239" s="27"/>
      <c r="D1239" s="35"/>
      <c r="E1239" s="28"/>
      <c r="F1239" s="28"/>
    </row>
    <row r="1240" spans="1:6" x14ac:dyDescent="0.2">
      <c r="A1240" s="27"/>
      <c r="B1240" s="27"/>
      <c r="C1240" s="27"/>
      <c r="D1240" s="35"/>
      <c r="E1240" s="28"/>
      <c r="F1240" s="28"/>
    </row>
    <row r="1241" spans="1:6" x14ac:dyDescent="0.2">
      <c r="A1241" s="27"/>
      <c r="B1241" s="27"/>
      <c r="C1241" s="27"/>
      <c r="D1241" s="35"/>
      <c r="E1241" s="28"/>
      <c r="F1241" s="28"/>
    </row>
    <row r="1242" spans="1:6" x14ac:dyDescent="0.2">
      <c r="A1242" s="27"/>
      <c r="B1242" s="27"/>
      <c r="C1242" s="27"/>
      <c r="D1242" s="35"/>
      <c r="E1242" s="28"/>
      <c r="F1242" s="28"/>
    </row>
    <row r="1243" spans="1:6" x14ac:dyDescent="0.2">
      <c r="A1243" s="27"/>
      <c r="B1243" s="27"/>
      <c r="C1243" s="27"/>
      <c r="D1243" s="35"/>
      <c r="E1243" s="28"/>
      <c r="F1243" s="28"/>
    </row>
    <row r="1244" spans="1:6" x14ac:dyDescent="0.2">
      <c r="A1244" s="27"/>
      <c r="B1244" s="27"/>
      <c r="C1244" s="27"/>
      <c r="D1244" s="35"/>
      <c r="E1244" s="28"/>
      <c r="F1244" s="28"/>
    </row>
    <row r="1245" spans="1:6" x14ac:dyDescent="0.2">
      <c r="A1245" s="27"/>
      <c r="B1245" s="27"/>
      <c r="C1245" s="27"/>
      <c r="D1245" s="35"/>
      <c r="E1245" s="28"/>
      <c r="F1245" s="28"/>
    </row>
    <row r="1246" spans="1:6" x14ac:dyDescent="0.2">
      <c r="A1246" s="27"/>
      <c r="B1246" s="27"/>
      <c r="C1246" s="27"/>
      <c r="D1246" s="35"/>
      <c r="E1246" s="28"/>
      <c r="F1246" s="28"/>
    </row>
    <row r="1247" spans="1:6" x14ac:dyDescent="0.2">
      <c r="A1247" s="27"/>
      <c r="B1247" s="27"/>
      <c r="C1247" s="27"/>
      <c r="D1247" s="35"/>
      <c r="E1247" s="28"/>
      <c r="F1247" s="28"/>
    </row>
    <row r="1248" spans="1:6" x14ac:dyDescent="0.2">
      <c r="A1248" s="27"/>
      <c r="B1248" s="27"/>
      <c r="C1248" s="27"/>
      <c r="D1248" s="35"/>
      <c r="E1248" s="28"/>
      <c r="F1248" s="28"/>
    </row>
    <row r="1249" spans="1:6" x14ac:dyDescent="0.2">
      <c r="A1249" s="27"/>
      <c r="B1249" s="27"/>
      <c r="C1249" s="27"/>
      <c r="D1249" s="35"/>
      <c r="E1249" s="28"/>
      <c r="F1249" s="28"/>
    </row>
    <row r="1250" spans="1:6" x14ac:dyDescent="0.2">
      <c r="A1250" s="27"/>
      <c r="B1250" s="27"/>
      <c r="C1250" s="27"/>
      <c r="D1250" s="35"/>
      <c r="E1250" s="28"/>
      <c r="F1250" s="28"/>
    </row>
    <row r="1251" spans="1:6" x14ac:dyDescent="0.2">
      <c r="A1251" s="27"/>
      <c r="B1251" s="27"/>
      <c r="C1251" s="27"/>
      <c r="D1251" s="35"/>
      <c r="E1251" s="28"/>
      <c r="F1251" s="28"/>
    </row>
    <row r="1252" spans="1:6" x14ac:dyDescent="0.2">
      <c r="A1252" s="27"/>
      <c r="B1252" s="27"/>
      <c r="C1252" s="27"/>
      <c r="D1252" s="35"/>
      <c r="E1252" s="28"/>
      <c r="F1252" s="28"/>
    </row>
    <row r="1253" spans="1:6" x14ac:dyDescent="0.2">
      <c r="A1253" s="27"/>
      <c r="B1253" s="27"/>
      <c r="C1253" s="27"/>
      <c r="D1253" s="35"/>
      <c r="E1253" s="28"/>
      <c r="F1253" s="28"/>
    </row>
    <row r="1254" spans="1:6" x14ac:dyDescent="0.2">
      <c r="A1254" s="27"/>
      <c r="B1254" s="27"/>
      <c r="C1254" s="27"/>
      <c r="D1254" s="35"/>
      <c r="E1254" s="28"/>
      <c r="F1254" s="28"/>
    </row>
    <row r="1255" spans="1:6" x14ac:dyDescent="0.2">
      <c r="A1255" s="27"/>
      <c r="B1255" s="27"/>
      <c r="C1255" s="27"/>
      <c r="D1255" s="35"/>
      <c r="E1255" s="28"/>
      <c r="F1255" s="28"/>
    </row>
    <row r="1256" spans="1:6" x14ac:dyDescent="0.2">
      <c r="A1256" s="27"/>
      <c r="B1256" s="27"/>
      <c r="C1256" s="27"/>
      <c r="D1256" s="35"/>
      <c r="E1256" s="28"/>
      <c r="F1256" s="28"/>
    </row>
    <row r="1257" spans="1:6" x14ac:dyDescent="0.2">
      <c r="A1257" s="27"/>
      <c r="B1257" s="27"/>
      <c r="C1257" s="27"/>
      <c r="D1257" s="35"/>
      <c r="E1257" s="28"/>
      <c r="F1257" s="28"/>
    </row>
    <row r="1258" spans="1:6" x14ac:dyDescent="0.2">
      <c r="A1258" s="27"/>
      <c r="B1258" s="27"/>
      <c r="C1258" s="27"/>
      <c r="D1258" s="35"/>
      <c r="E1258" s="28"/>
      <c r="F1258" s="28"/>
    </row>
    <row r="1259" spans="1:6" x14ac:dyDescent="0.2">
      <c r="A1259" s="27"/>
      <c r="B1259" s="27"/>
      <c r="C1259" s="27"/>
      <c r="D1259" s="35"/>
      <c r="E1259" s="28"/>
      <c r="F1259" s="28"/>
    </row>
    <row r="1260" spans="1:6" x14ac:dyDescent="0.2">
      <c r="A1260" s="27"/>
      <c r="B1260" s="27"/>
      <c r="C1260" s="27"/>
      <c r="D1260" s="35"/>
      <c r="E1260" s="28"/>
      <c r="F1260" s="28"/>
    </row>
    <row r="1261" spans="1:6" x14ac:dyDescent="0.2">
      <c r="A1261" s="27"/>
      <c r="B1261" s="27"/>
      <c r="C1261" s="27"/>
      <c r="D1261" s="35"/>
      <c r="E1261" s="28"/>
      <c r="F1261" s="28"/>
    </row>
    <row r="1262" spans="1:6" x14ac:dyDescent="0.2">
      <c r="A1262" s="27"/>
      <c r="B1262" s="27"/>
      <c r="C1262" s="27"/>
      <c r="D1262" s="35"/>
      <c r="E1262" s="28"/>
      <c r="F1262" s="28"/>
    </row>
    <row r="1263" spans="1:6" x14ac:dyDescent="0.2">
      <c r="A1263" s="27"/>
      <c r="B1263" s="27"/>
      <c r="C1263" s="27"/>
      <c r="D1263" s="35"/>
      <c r="E1263" s="28"/>
      <c r="F1263" s="28"/>
    </row>
    <row r="1264" spans="1:6" x14ac:dyDescent="0.2">
      <c r="A1264" s="27"/>
      <c r="B1264" s="27"/>
      <c r="C1264" s="27"/>
      <c r="D1264" s="35"/>
      <c r="E1264" s="28"/>
      <c r="F1264" s="28"/>
    </row>
    <row r="1265" spans="1:6" x14ac:dyDescent="0.2">
      <c r="A1265" s="27"/>
      <c r="B1265" s="27"/>
      <c r="C1265" s="27"/>
      <c r="D1265" s="35"/>
      <c r="E1265" s="28"/>
      <c r="F1265" s="28"/>
    </row>
    <row r="1266" spans="1:6" x14ac:dyDescent="0.2">
      <c r="A1266" s="27"/>
      <c r="B1266" s="27"/>
      <c r="C1266" s="27"/>
      <c r="D1266" s="35"/>
      <c r="E1266" s="28"/>
      <c r="F1266" s="28"/>
    </row>
    <row r="1267" spans="1:6" x14ac:dyDescent="0.2">
      <c r="A1267" s="27"/>
      <c r="B1267" s="27"/>
      <c r="C1267" s="27"/>
      <c r="D1267" s="35"/>
      <c r="E1267" s="28"/>
      <c r="F1267" s="28"/>
    </row>
    <row r="1268" spans="1:6" x14ac:dyDescent="0.2">
      <c r="A1268" s="27"/>
      <c r="B1268" s="27"/>
      <c r="C1268" s="27"/>
      <c r="D1268" s="35"/>
      <c r="E1268" s="28"/>
      <c r="F1268" s="28"/>
    </row>
    <row r="1269" spans="1:6" x14ac:dyDescent="0.2">
      <c r="A1269" s="27"/>
      <c r="B1269" s="27"/>
      <c r="C1269" s="27"/>
      <c r="D1269" s="35"/>
      <c r="E1269" s="28"/>
      <c r="F1269" s="28"/>
    </row>
    <row r="1270" spans="1:6" x14ac:dyDescent="0.2">
      <c r="A1270" s="27"/>
      <c r="B1270" s="27"/>
      <c r="C1270" s="27"/>
      <c r="D1270" s="35"/>
      <c r="E1270" s="28"/>
      <c r="F1270" s="28"/>
    </row>
    <row r="1271" spans="1:6" x14ac:dyDescent="0.2">
      <c r="A1271" s="27"/>
      <c r="B1271" s="27"/>
      <c r="C1271" s="27"/>
      <c r="D1271" s="35"/>
      <c r="E1271" s="28"/>
      <c r="F1271" s="28"/>
    </row>
    <row r="1272" spans="1:6" x14ac:dyDescent="0.2">
      <c r="A1272" s="27"/>
      <c r="B1272" s="27"/>
      <c r="C1272" s="27"/>
      <c r="D1272" s="35"/>
      <c r="E1272" s="28"/>
      <c r="F1272" s="28"/>
    </row>
    <row r="1273" spans="1:6" x14ac:dyDescent="0.2">
      <c r="A1273" s="27"/>
      <c r="B1273" s="27"/>
      <c r="C1273" s="27"/>
      <c r="D1273" s="35"/>
      <c r="E1273" s="28"/>
      <c r="F1273" s="28"/>
    </row>
    <row r="1274" spans="1:6" x14ac:dyDescent="0.2">
      <c r="A1274" s="27"/>
      <c r="B1274" s="27"/>
      <c r="C1274" s="27"/>
      <c r="D1274" s="35"/>
      <c r="E1274" s="28"/>
      <c r="F1274" s="28"/>
    </row>
    <row r="1275" spans="1:6" x14ac:dyDescent="0.2">
      <c r="A1275" s="27"/>
      <c r="B1275" s="27"/>
      <c r="C1275" s="27"/>
      <c r="D1275" s="35"/>
      <c r="E1275" s="28"/>
      <c r="F1275" s="28"/>
    </row>
    <row r="1276" spans="1:6" x14ac:dyDescent="0.2">
      <c r="A1276" s="27"/>
      <c r="B1276" s="27"/>
      <c r="C1276" s="27"/>
      <c r="D1276" s="35"/>
      <c r="E1276" s="28"/>
      <c r="F1276" s="28"/>
    </row>
    <row r="1277" spans="1:6" x14ac:dyDescent="0.2">
      <c r="A1277" s="27"/>
      <c r="B1277" s="27"/>
      <c r="C1277" s="27"/>
      <c r="D1277" s="35"/>
      <c r="E1277" s="28"/>
      <c r="F1277" s="28"/>
    </row>
    <row r="1278" spans="1:6" x14ac:dyDescent="0.2">
      <c r="A1278" s="27"/>
      <c r="B1278" s="27"/>
      <c r="C1278" s="27"/>
      <c r="D1278" s="35"/>
      <c r="E1278" s="28"/>
      <c r="F1278" s="28"/>
    </row>
    <row r="1279" spans="1:6" x14ac:dyDescent="0.2">
      <c r="A1279" s="27"/>
      <c r="B1279" s="27"/>
      <c r="C1279" s="27"/>
      <c r="D1279" s="35"/>
      <c r="E1279" s="28"/>
      <c r="F1279" s="28"/>
    </row>
    <row r="1280" spans="1:6" x14ac:dyDescent="0.2">
      <c r="A1280" s="27"/>
      <c r="B1280" s="27"/>
      <c r="C1280" s="27"/>
      <c r="D1280" s="35"/>
      <c r="E1280" s="28"/>
      <c r="F1280" s="28"/>
    </row>
    <row r="1281" spans="1:6" x14ac:dyDescent="0.2">
      <c r="A1281" s="27"/>
      <c r="B1281" s="27"/>
      <c r="C1281" s="27"/>
      <c r="D1281" s="35"/>
      <c r="E1281" s="28"/>
      <c r="F1281" s="28"/>
    </row>
    <row r="1282" spans="1:6" x14ac:dyDescent="0.2">
      <c r="A1282" s="27"/>
      <c r="B1282" s="27"/>
      <c r="C1282" s="27"/>
      <c r="D1282" s="35"/>
      <c r="E1282" s="28"/>
      <c r="F1282" s="28"/>
    </row>
    <row r="1283" spans="1:6" x14ac:dyDescent="0.2">
      <c r="A1283" s="27"/>
      <c r="B1283" s="27"/>
      <c r="C1283" s="27"/>
      <c r="D1283" s="35"/>
      <c r="E1283" s="28"/>
      <c r="F1283" s="28"/>
    </row>
    <row r="1284" spans="1:6" x14ac:dyDescent="0.2">
      <c r="A1284" s="27"/>
      <c r="B1284" s="27"/>
      <c r="C1284" s="27"/>
      <c r="D1284" s="35"/>
      <c r="E1284" s="28"/>
      <c r="F1284" s="28"/>
    </row>
    <row r="1285" spans="1:6" x14ac:dyDescent="0.2">
      <c r="A1285" s="27"/>
      <c r="B1285" s="27"/>
      <c r="C1285" s="27"/>
      <c r="D1285" s="35"/>
      <c r="E1285" s="28"/>
      <c r="F1285" s="28"/>
    </row>
    <row r="1286" spans="1:6" x14ac:dyDescent="0.2">
      <c r="A1286" s="27"/>
      <c r="B1286" s="27"/>
      <c r="C1286" s="27"/>
      <c r="D1286" s="35"/>
      <c r="E1286" s="28"/>
      <c r="F1286" s="28"/>
    </row>
    <row r="1287" spans="1:6" x14ac:dyDescent="0.2">
      <c r="A1287" s="27"/>
      <c r="B1287" s="27"/>
      <c r="C1287" s="27"/>
      <c r="D1287" s="35"/>
      <c r="E1287" s="28"/>
      <c r="F1287" s="28"/>
    </row>
    <row r="1288" spans="1:6" x14ac:dyDescent="0.2">
      <c r="A1288" s="27"/>
      <c r="B1288" s="27"/>
      <c r="C1288" s="27"/>
      <c r="D1288" s="35"/>
      <c r="E1288" s="28"/>
      <c r="F1288" s="28"/>
    </row>
    <row r="1289" spans="1:6" x14ac:dyDescent="0.2">
      <c r="A1289" s="27"/>
      <c r="B1289" s="27"/>
      <c r="C1289" s="27"/>
      <c r="D1289" s="35"/>
      <c r="E1289" s="28"/>
      <c r="F1289" s="28"/>
    </row>
    <row r="1290" spans="1:6" x14ac:dyDescent="0.2">
      <c r="A1290" s="27"/>
      <c r="B1290" s="27"/>
      <c r="C1290" s="27"/>
      <c r="D1290" s="35"/>
      <c r="E1290" s="28"/>
      <c r="F1290" s="28"/>
    </row>
    <row r="1291" spans="1:6" x14ac:dyDescent="0.2">
      <c r="A1291" s="27"/>
      <c r="B1291" s="27"/>
      <c r="C1291" s="27"/>
      <c r="D1291" s="35"/>
      <c r="E1291" s="28"/>
      <c r="F1291" s="28"/>
    </row>
    <row r="1292" spans="1:6" x14ac:dyDescent="0.2">
      <c r="A1292" s="27"/>
      <c r="B1292" s="27"/>
      <c r="C1292" s="27"/>
      <c r="D1292" s="35"/>
      <c r="E1292" s="28"/>
      <c r="F1292" s="28"/>
    </row>
    <row r="1293" spans="1:6" x14ac:dyDescent="0.2">
      <c r="A1293" s="27"/>
      <c r="B1293" s="27"/>
      <c r="C1293" s="27"/>
      <c r="D1293" s="35"/>
      <c r="E1293" s="28"/>
      <c r="F1293" s="28"/>
    </row>
    <row r="1294" spans="1:6" x14ac:dyDescent="0.2">
      <c r="A1294" s="27"/>
      <c r="B1294" s="27"/>
      <c r="C1294" s="27"/>
      <c r="D1294" s="35"/>
      <c r="E1294" s="28"/>
      <c r="F1294" s="28"/>
    </row>
    <row r="1295" spans="1:6" x14ac:dyDescent="0.2">
      <c r="A1295" s="27"/>
      <c r="B1295" s="27"/>
      <c r="C1295" s="27"/>
      <c r="D1295" s="35"/>
      <c r="E1295" s="28"/>
      <c r="F1295" s="28"/>
    </row>
    <row r="1296" spans="1:6" x14ac:dyDescent="0.2">
      <c r="A1296" s="27"/>
      <c r="B1296" s="27"/>
      <c r="C1296" s="27"/>
      <c r="D1296" s="35"/>
      <c r="E1296" s="28"/>
      <c r="F1296" s="28"/>
    </row>
    <row r="1297" spans="1:6" x14ac:dyDescent="0.2">
      <c r="A1297" s="27"/>
      <c r="B1297" s="27"/>
      <c r="C1297" s="27"/>
      <c r="D1297" s="35"/>
      <c r="E1297" s="28"/>
      <c r="F1297" s="28"/>
    </row>
    <row r="1298" spans="1:6" x14ac:dyDescent="0.2">
      <c r="A1298" s="27"/>
      <c r="B1298" s="27"/>
      <c r="C1298" s="27"/>
      <c r="D1298" s="35"/>
      <c r="E1298" s="28"/>
      <c r="F1298" s="28"/>
    </row>
    <row r="1299" spans="1:6" x14ac:dyDescent="0.2">
      <c r="A1299" s="27"/>
      <c r="B1299" s="27"/>
      <c r="C1299" s="27"/>
      <c r="D1299" s="35"/>
      <c r="E1299" s="28"/>
      <c r="F1299" s="28"/>
    </row>
    <row r="1300" spans="1:6" x14ac:dyDescent="0.2">
      <c r="A1300" s="27"/>
      <c r="B1300" s="27"/>
      <c r="C1300" s="27"/>
      <c r="D1300" s="35"/>
      <c r="E1300" s="28"/>
      <c r="F1300" s="28"/>
    </row>
    <row r="1301" spans="1:6" x14ac:dyDescent="0.2">
      <c r="A1301" s="27"/>
      <c r="B1301" s="27"/>
      <c r="C1301" s="27"/>
      <c r="D1301" s="35"/>
      <c r="E1301" s="28"/>
      <c r="F1301" s="28"/>
    </row>
    <row r="1302" spans="1:6" x14ac:dyDescent="0.2">
      <c r="A1302" s="27"/>
      <c r="B1302" s="27"/>
      <c r="C1302" s="27"/>
      <c r="D1302" s="35"/>
      <c r="E1302" s="28"/>
      <c r="F1302" s="28"/>
    </row>
    <row r="1303" spans="1:6" x14ac:dyDescent="0.2">
      <c r="A1303" s="27"/>
      <c r="B1303" s="27"/>
      <c r="C1303" s="27"/>
      <c r="D1303" s="35"/>
      <c r="E1303" s="28"/>
      <c r="F1303" s="28"/>
    </row>
    <row r="1304" spans="1:6" x14ac:dyDescent="0.2">
      <c r="A1304" s="27"/>
      <c r="B1304" s="27"/>
      <c r="C1304" s="27"/>
      <c r="D1304" s="35"/>
      <c r="E1304" s="28"/>
      <c r="F1304" s="28"/>
    </row>
    <row r="1305" spans="1:6" x14ac:dyDescent="0.2">
      <c r="A1305" s="27"/>
      <c r="B1305" s="27"/>
      <c r="C1305" s="27"/>
      <c r="D1305" s="35"/>
      <c r="E1305" s="28"/>
      <c r="F1305" s="28"/>
    </row>
    <row r="1306" spans="1:6" x14ac:dyDescent="0.2">
      <c r="A1306" s="27"/>
      <c r="B1306" s="27"/>
      <c r="C1306" s="27"/>
      <c r="D1306" s="35"/>
      <c r="E1306" s="28"/>
      <c r="F1306" s="28"/>
    </row>
    <row r="1307" spans="1:6" x14ac:dyDescent="0.2">
      <c r="A1307" s="27"/>
      <c r="B1307" s="27"/>
      <c r="C1307" s="27"/>
      <c r="D1307" s="35"/>
      <c r="E1307" s="28"/>
      <c r="F1307" s="28"/>
    </row>
    <row r="1308" spans="1:6" x14ac:dyDescent="0.2">
      <c r="A1308" s="27"/>
      <c r="B1308" s="27"/>
      <c r="C1308" s="27"/>
      <c r="D1308" s="35"/>
      <c r="E1308" s="28"/>
      <c r="F1308" s="28"/>
    </row>
    <row r="1309" spans="1:6" x14ac:dyDescent="0.2">
      <c r="A1309" s="27"/>
      <c r="B1309" s="27"/>
      <c r="C1309" s="27"/>
      <c r="D1309" s="35"/>
      <c r="E1309" s="28"/>
      <c r="F1309" s="28"/>
    </row>
    <row r="1310" spans="1:6" x14ac:dyDescent="0.2">
      <c r="A1310" s="27"/>
      <c r="B1310" s="27"/>
      <c r="C1310" s="27"/>
      <c r="D1310" s="35"/>
      <c r="E1310" s="28"/>
      <c r="F1310" s="28"/>
    </row>
    <row r="1311" spans="1:6" x14ac:dyDescent="0.2">
      <c r="A1311" s="27"/>
      <c r="B1311" s="27"/>
      <c r="C1311" s="27"/>
      <c r="D1311" s="35"/>
      <c r="E1311" s="28"/>
      <c r="F1311" s="28"/>
    </row>
    <row r="1312" spans="1:6" x14ac:dyDescent="0.2">
      <c r="A1312" s="27"/>
      <c r="B1312" s="27"/>
      <c r="C1312" s="27"/>
      <c r="D1312" s="35"/>
      <c r="E1312" s="28"/>
      <c r="F1312" s="28"/>
    </row>
    <row r="1313" spans="1:6" x14ac:dyDescent="0.2">
      <c r="A1313" s="27"/>
      <c r="B1313" s="27"/>
      <c r="C1313" s="27"/>
      <c r="D1313" s="35"/>
      <c r="E1313" s="28"/>
      <c r="F1313" s="28"/>
    </row>
    <row r="1314" spans="1:6" x14ac:dyDescent="0.2">
      <c r="A1314" s="27"/>
      <c r="B1314" s="27"/>
      <c r="C1314" s="27"/>
      <c r="D1314" s="35"/>
      <c r="E1314" s="28"/>
      <c r="F1314" s="28"/>
    </row>
    <row r="1315" spans="1:6" x14ac:dyDescent="0.2">
      <c r="A1315" s="27"/>
      <c r="B1315" s="27"/>
      <c r="C1315" s="27"/>
      <c r="D1315" s="35"/>
      <c r="E1315" s="28"/>
      <c r="F1315" s="28"/>
    </row>
    <row r="1316" spans="1:6" x14ac:dyDescent="0.2">
      <c r="A1316" s="27"/>
      <c r="B1316" s="27"/>
      <c r="C1316" s="27"/>
      <c r="D1316" s="35"/>
      <c r="E1316" s="28"/>
      <c r="F1316" s="28"/>
    </row>
    <row r="1317" spans="1:6" x14ac:dyDescent="0.2">
      <c r="A1317" s="27"/>
      <c r="B1317" s="27"/>
      <c r="C1317" s="27"/>
      <c r="D1317" s="35"/>
      <c r="E1317" s="28"/>
      <c r="F1317" s="28"/>
    </row>
    <row r="1318" spans="1:6" x14ac:dyDescent="0.2">
      <c r="A1318" s="27"/>
      <c r="B1318" s="27"/>
      <c r="C1318" s="27"/>
      <c r="D1318" s="35"/>
      <c r="E1318" s="28"/>
      <c r="F1318" s="28"/>
    </row>
    <row r="1319" spans="1:6" x14ac:dyDescent="0.2">
      <c r="A1319" s="27"/>
      <c r="B1319" s="27"/>
      <c r="C1319" s="27"/>
      <c r="D1319" s="35"/>
      <c r="E1319" s="28"/>
      <c r="F1319" s="28"/>
    </row>
    <row r="1320" spans="1:6" x14ac:dyDescent="0.2">
      <c r="A1320" s="27"/>
      <c r="B1320" s="27"/>
      <c r="C1320" s="27"/>
      <c r="D1320" s="35"/>
      <c r="E1320" s="28"/>
      <c r="F1320" s="28"/>
    </row>
    <row r="1321" spans="1:6" x14ac:dyDescent="0.2">
      <c r="A1321" s="27"/>
      <c r="B1321" s="27"/>
      <c r="C1321" s="27"/>
      <c r="D1321" s="35"/>
      <c r="E1321" s="28"/>
      <c r="F1321" s="28"/>
    </row>
    <row r="1322" spans="1:6" x14ac:dyDescent="0.2">
      <c r="A1322" s="27"/>
      <c r="B1322" s="27"/>
      <c r="C1322" s="27"/>
      <c r="D1322" s="35"/>
      <c r="E1322" s="28"/>
      <c r="F1322" s="28"/>
    </row>
    <row r="1323" spans="1:6" x14ac:dyDescent="0.2">
      <c r="A1323" s="27"/>
      <c r="B1323" s="27"/>
      <c r="C1323" s="27"/>
      <c r="D1323" s="35"/>
      <c r="E1323" s="28"/>
      <c r="F1323" s="28"/>
    </row>
    <row r="1324" spans="1:6" x14ac:dyDescent="0.2">
      <c r="A1324" s="27"/>
      <c r="B1324" s="27"/>
      <c r="C1324" s="27"/>
      <c r="D1324" s="35"/>
      <c r="E1324" s="28"/>
      <c r="F1324" s="28"/>
    </row>
    <row r="1325" spans="1:6" x14ac:dyDescent="0.2">
      <c r="A1325" s="27"/>
      <c r="B1325" s="27"/>
      <c r="C1325" s="27"/>
      <c r="D1325" s="35"/>
      <c r="E1325" s="28"/>
      <c r="F1325" s="28"/>
    </row>
    <row r="1326" spans="1:6" x14ac:dyDescent="0.2">
      <c r="A1326" s="27"/>
      <c r="B1326" s="27"/>
      <c r="C1326" s="27"/>
      <c r="D1326" s="35"/>
      <c r="E1326" s="28"/>
      <c r="F1326" s="28"/>
    </row>
    <row r="1327" spans="1:6" x14ac:dyDescent="0.2">
      <c r="A1327" s="27"/>
      <c r="B1327" s="27"/>
      <c r="C1327" s="27"/>
      <c r="D1327" s="35"/>
      <c r="E1327" s="28"/>
      <c r="F1327" s="28"/>
    </row>
    <row r="1328" spans="1:6" x14ac:dyDescent="0.2">
      <c r="A1328" s="27"/>
      <c r="B1328" s="27"/>
      <c r="C1328" s="27"/>
      <c r="D1328" s="35"/>
      <c r="E1328" s="28"/>
      <c r="F1328" s="28"/>
    </row>
    <row r="1329" spans="1:6" x14ac:dyDescent="0.2">
      <c r="A1329" s="27"/>
      <c r="B1329" s="27"/>
      <c r="C1329" s="27"/>
      <c r="D1329" s="35"/>
      <c r="E1329" s="28"/>
      <c r="F1329" s="28"/>
    </row>
    <row r="1330" spans="1:6" x14ac:dyDescent="0.2">
      <c r="A1330" s="27"/>
      <c r="B1330" s="27"/>
      <c r="C1330" s="27"/>
      <c r="D1330" s="35"/>
      <c r="E1330" s="28"/>
      <c r="F1330" s="28"/>
    </row>
    <row r="1331" spans="1:6" x14ac:dyDescent="0.2">
      <c r="A1331" s="27"/>
      <c r="B1331" s="27"/>
      <c r="C1331" s="27"/>
      <c r="D1331" s="35"/>
      <c r="E1331" s="28"/>
      <c r="F1331" s="28"/>
    </row>
    <row r="1332" spans="1:6" x14ac:dyDescent="0.2">
      <c r="A1332" s="27"/>
      <c r="B1332" s="27"/>
      <c r="C1332" s="27"/>
      <c r="D1332" s="35"/>
      <c r="E1332" s="28"/>
      <c r="F1332" s="28"/>
    </row>
    <row r="1333" spans="1:6" x14ac:dyDescent="0.2">
      <c r="A1333" s="27"/>
      <c r="B1333" s="27"/>
      <c r="C1333" s="27"/>
      <c r="D1333" s="35"/>
      <c r="E1333" s="28"/>
      <c r="F1333" s="28"/>
    </row>
    <row r="1334" spans="1:6" x14ac:dyDescent="0.2">
      <c r="A1334" s="27"/>
      <c r="B1334" s="27"/>
      <c r="C1334" s="27"/>
      <c r="D1334" s="35"/>
      <c r="E1334" s="28"/>
      <c r="F1334" s="28"/>
    </row>
    <row r="1335" spans="1:6" x14ac:dyDescent="0.2">
      <c r="A1335" s="27"/>
      <c r="B1335" s="27"/>
      <c r="C1335" s="27"/>
      <c r="D1335" s="35"/>
      <c r="E1335" s="28"/>
      <c r="F1335" s="28"/>
    </row>
    <row r="1336" spans="1:6" x14ac:dyDescent="0.2">
      <c r="A1336" s="27"/>
      <c r="B1336" s="27"/>
      <c r="C1336" s="27"/>
      <c r="D1336" s="35"/>
      <c r="E1336" s="28"/>
      <c r="F1336" s="28"/>
    </row>
    <row r="1337" spans="1:6" x14ac:dyDescent="0.2">
      <c r="A1337" s="27"/>
      <c r="B1337" s="27"/>
      <c r="C1337" s="27"/>
      <c r="D1337" s="35"/>
      <c r="E1337" s="28"/>
      <c r="F1337" s="28"/>
    </row>
    <row r="1338" spans="1:6" x14ac:dyDescent="0.2">
      <c r="A1338" s="27"/>
      <c r="B1338" s="27"/>
      <c r="C1338" s="27"/>
      <c r="D1338" s="35"/>
      <c r="E1338" s="28"/>
      <c r="F1338" s="28"/>
    </row>
    <row r="1339" spans="1:6" x14ac:dyDescent="0.2">
      <c r="A1339" s="27"/>
      <c r="B1339" s="27"/>
      <c r="C1339" s="27"/>
      <c r="D1339" s="35"/>
      <c r="E1339" s="28"/>
      <c r="F1339" s="28"/>
    </row>
    <row r="1340" spans="1:6" x14ac:dyDescent="0.2">
      <c r="A1340" s="27"/>
      <c r="B1340" s="27"/>
      <c r="C1340" s="27"/>
      <c r="D1340" s="35"/>
      <c r="E1340" s="28"/>
      <c r="F1340" s="28"/>
    </row>
    <row r="1341" spans="1:6" x14ac:dyDescent="0.2">
      <c r="A1341" s="27"/>
      <c r="B1341" s="27"/>
      <c r="C1341" s="27"/>
      <c r="D1341" s="35"/>
      <c r="E1341" s="28"/>
      <c r="F1341" s="28"/>
    </row>
    <row r="1342" spans="1:6" x14ac:dyDescent="0.2">
      <c r="A1342" s="27"/>
      <c r="B1342" s="27"/>
      <c r="C1342" s="27"/>
      <c r="D1342" s="35"/>
      <c r="E1342" s="28"/>
      <c r="F1342" s="28"/>
    </row>
    <row r="1343" spans="1:6" x14ac:dyDescent="0.2">
      <c r="A1343" s="27"/>
      <c r="B1343" s="27"/>
      <c r="C1343" s="27"/>
      <c r="D1343" s="35"/>
      <c r="E1343" s="28"/>
      <c r="F1343" s="28"/>
    </row>
    <row r="1344" spans="1:6" x14ac:dyDescent="0.2">
      <c r="A1344" s="27"/>
      <c r="B1344" s="27"/>
      <c r="C1344" s="27"/>
      <c r="D1344" s="35"/>
      <c r="E1344" s="28"/>
      <c r="F1344" s="28"/>
    </row>
    <row r="1345" spans="1:6" x14ac:dyDescent="0.2">
      <c r="A1345" s="27"/>
      <c r="B1345" s="27"/>
      <c r="C1345" s="27"/>
      <c r="D1345" s="35"/>
      <c r="E1345" s="28"/>
      <c r="F1345" s="28"/>
    </row>
    <row r="1346" spans="1:6" x14ac:dyDescent="0.2">
      <c r="A1346" s="27"/>
      <c r="B1346" s="27"/>
      <c r="C1346" s="27"/>
      <c r="D1346" s="35"/>
      <c r="E1346" s="28"/>
      <c r="F1346" s="28"/>
    </row>
    <row r="1347" spans="1:6" x14ac:dyDescent="0.2">
      <c r="A1347" s="27"/>
      <c r="B1347" s="27"/>
      <c r="C1347" s="27"/>
      <c r="D1347" s="35"/>
      <c r="E1347" s="28"/>
      <c r="F1347" s="28"/>
    </row>
    <row r="1348" spans="1:6" x14ac:dyDescent="0.2">
      <c r="A1348" s="27"/>
      <c r="B1348" s="27"/>
      <c r="C1348" s="27"/>
      <c r="D1348" s="35"/>
      <c r="E1348" s="28"/>
      <c r="F1348" s="28"/>
    </row>
    <row r="1349" spans="1:6" x14ac:dyDescent="0.2">
      <c r="A1349" s="27"/>
      <c r="B1349" s="27"/>
      <c r="C1349" s="27"/>
      <c r="D1349" s="35"/>
      <c r="E1349" s="28"/>
      <c r="F1349" s="28"/>
    </row>
    <row r="1350" spans="1:6" x14ac:dyDescent="0.2">
      <c r="A1350" s="27"/>
      <c r="B1350" s="27"/>
      <c r="C1350" s="27"/>
      <c r="D1350" s="35"/>
      <c r="E1350" s="28"/>
      <c r="F1350" s="28"/>
    </row>
    <row r="1351" spans="1:6" x14ac:dyDescent="0.2">
      <c r="A1351" s="27"/>
      <c r="B1351" s="27"/>
      <c r="C1351" s="27"/>
      <c r="D1351" s="35"/>
      <c r="E1351" s="28"/>
      <c r="F1351" s="28"/>
    </row>
    <row r="1352" spans="1:6" x14ac:dyDescent="0.2">
      <c r="A1352" s="27"/>
      <c r="B1352" s="27"/>
      <c r="C1352" s="27"/>
      <c r="D1352" s="35"/>
      <c r="E1352" s="28"/>
      <c r="F1352" s="28"/>
    </row>
    <row r="1353" spans="1:6" x14ac:dyDescent="0.2">
      <c r="A1353" s="27"/>
      <c r="B1353" s="27"/>
      <c r="C1353" s="27"/>
      <c r="D1353" s="35"/>
      <c r="E1353" s="28"/>
      <c r="F1353" s="28"/>
    </row>
    <row r="1354" spans="1:6" x14ac:dyDescent="0.2">
      <c r="A1354" s="27"/>
      <c r="B1354" s="27"/>
      <c r="C1354" s="27"/>
      <c r="D1354" s="35"/>
      <c r="E1354" s="28"/>
      <c r="F1354" s="28"/>
    </row>
    <row r="1355" spans="1:6" x14ac:dyDescent="0.2">
      <c r="A1355" s="27"/>
      <c r="B1355" s="27"/>
      <c r="C1355" s="27"/>
      <c r="D1355" s="35"/>
      <c r="E1355" s="28"/>
      <c r="F1355" s="28"/>
    </row>
    <row r="1356" spans="1:6" x14ac:dyDescent="0.2">
      <c r="A1356" s="27"/>
      <c r="B1356" s="27"/>
      <c r="C1356" s="27"/>
      <c r="D1356" s="35"/>
      <c r="E1356" s="28"/>
      <c r="F1356" s="28"/>
    </row>
    <row r="1357" spans="1:6" x14ac:dyDescent="0.2">
      <c r="A1357" s="27"/>
      <c r="B1357" s="27"/>
      <c r="C1357" s="27"/>
      <c r="D1357" s="35"/>
      <c r="E1357" s="28"/>
      <c r="F1357" s="28"/>
    </row>
    <row r="1358" spans="1:6" x14ac:dyDescent="0.2">
      <c r="A1358" s="27"/>
      <c r="B1358" s="27"/>
      <c r="C1358" s="27"/>
      <c r="D1358" s="35"/>
      <c r="E1358" s="28"/>
      <c r="F1358" s="28"/>
    </row>
    <row r="1359" spans="1:6" x14ac:dyDescent="0.2">
      <c r="A1359" s="27"/>
      <c r="B1359" s="27"/>
      <c r="C1359" s="27"/>
      <c r="D1359" s="35"/>
      <c r="E1359" s="28"/>
      <c r="F1359" s="28"/>
    </row>
    <row r="1360" spans="1:6" x14ac:dyDescent="0.2">
      <c r="A1360" s="27"/>
      <c r="B1360" s="27"/>
      <c r="C1360" s="27"/>
      <c r="D1360" s="35"/>
      <c r="E1360" s="28"/>
      <c r="F1360" s="28"/>
    </row>
    <row r="1361" spans="1:6" x14ac:dyDescent="0.2">
      <c r="A1361" s="27"/>
      <c r="B1361" s="27"/>
      <c r="C1361" s="27"/>
      <c r="D1361" s="35"/>
      <c r="E1361" s="28"/>
      <c r="F1361" s="28"/>
    </row>
    <row r="1362" spans="1:6" x14ac:dyDescent="0.2">
      <c r="A1362" s="27"/>
      <c r="B1362" s="27"/>
      <c r="C1362" s="27"/>
      <c r="D1362" s="35"/>
      <c r="E1362" s="28"/>
      <c r="F1362" s="28"/>
    </row>
    <row r="1363" spans="1:6" x14ac:dyDescent="0.2">
      <c r="A1363" s="27"/>
      <c r="B1363" s="27"/>
      <c r="C1363" s="27"/>
      <c r="D1363" s="35"/>
      <c r="E1363" s="28"/>
      <c r="F1363" s="28"/>
    </row>
    <row r="1364" spans="1:6" x14ac:dyDescent="0.2">
      <c r="A1364" s="27"/>
      <c r="B1364" s="27"/>
      <c r="C1364" s="27"/>
      <c r="D1364" s="35"/>
      <c r="E1364" s="28"/>
      <c r="F1364" s="28"/>
    </row>
    <row r="1365" spans="1:6" x14ac:dyDescent="0.2">
      <c r="A1365" s="27"/>
      <c r="B1365" s="27"/>
      <c r="C1365" s="27"/>
      <c r="D1365" s="35"/>
      <c r="E1365" s="28"/>
      <c r="F1365" s="28"/>
    </row>
    <row r="1366" spans="1:6" x14ac:dyDescent="0.2">
      <c r="A1366" s="27"/>
      <c r="B1366" s="27"/>
      <c r="C1366" s="27"/>
      <c r="D1366" s="35"/>
      <c r="E1366" s="28"/>
      <c r="F1366" s="28"/>
    </row>
    <row r="1367" spans="1:6" x14ac:dyDescent="0.2">
      <c r="A1367" s="27"/>
      <c r="B1367" s="27"/>
      <c r="C1367" s="27"/>
      <c r="D1367" s="35"/>
      <c r="E1367" s="28"/>
      <c r="F1367" s="28"/>
    </row>
    <row r="1368" spans="1:6" x14ac:dyDescent="0.2">
      <c r="A1368" s="27"/>
      <c r="B1368" s="27"/>
      <c r="C1368" s="27"/>
      <c r="D1368" s="35"/>
      <c r="E1368" s="28"/>
      <c r="F1368" s="28"/>
    </row>
    <row r="1369" spans="1:6" x14ac:dyDescent="0.2">
      <c r="A1369" s="27"/>
      <c r="B1369" s="27"/>
      <c r="C1369" s="27"/>
      <c r="D1369" s="35"/>
      <c r="E1369" s="28"/>
      <c r="F1369" s="28"/>
    </row>
    <row r="1370" spans="1:6" x14ac:dyDescent="0.2">
      <c r="A1370" s="27"/>
      <c r="B1370" s="27"/>
      <c r="C1370" s="27"/>
      <c r="D1370" s="35"/>
      <c r="E1370" s="28"/>
      <c r="F1370" s="28"/>
    </row>
    <row r="1371" spans="1:6" x14ac:dyDescent="0.2">
      <c r="A1371" s="27"/>
      <c r="B1371" s="27"/>
      <c r="C1371" s="27"/>
      <c r="D1371" s="35"/>
      <c r="E1371" s="28"/>
      <c r="F1371" s="28"/>
    </row>
    <row r="1372" spans="1:6" x14ac:dyDescent="0.2">
      <c r="A1372" s="27"/>
      <c r="B1372" s="27"/>
      <c r="C1372" s="27"/>
      <c r="D1372" s="35"/>
      <c r="E1372" s="28"/>
      <c r="F1372" s="28"/>
    </row>
    <row r="1373" spans="1:6" x14ac:dyDescent="0.2">
      <c r="A1373" s="27"/>
      <c r="B1373" s="27"/>
      <c r="C1373" s="27"/>
      <c r="D1373" s="35"/>
      <c r="E1373" s="28"/>
      <c r="F1373" s="28"/>
    </row>
    <row r="1374" spans="1:6" x14ac:dyDescent="0.2">
      <c r="A1374" s="27"/>
      <c r="B1374" s="27"/>
      <c r="C1374" s="27"/>
      <c r="D1374" s="35"/>
      <c r="E1374" s="28"/>
      <c r="F1374" s="28"/>
    </row>
    <row r="1375" spans="1:6" x14ac:dyDescent="0.2">
      <c r="A1375" s="27"/>
      <c r="B1375" s="27"/>
      <c r="C1375" s="27"/>
      <c r="D1375" s="35"/>
      <c r="E1375" s="28"/>
      <c r="F1375" s="28"/>
    </row>
    <row r="1376" spans="1:6" x14ac:dyDescent="0.2">
      <c r="A1376" s="27"/>
      <c r="B1376" s="27"/>
      <c r="C1376" s="27"/>
      <c r="D1376" s="35"/>
      <c r="E1376" s="28"/>
      <c r="F1376" s="28"/>
    </row>
    <row r="1377" spans="1:6" x14ac:dyDescent="0.2">
      <c r="A1377" s="27"/>
      <c r="B1377" s="27"/>
      <c r="C1377" s="27"/>
      <c r="D1377" s="35"/>
      <c r="E1377" s="28"/>
      <c r="F1377" s="28"/>
    </row>
    <row r="1378" spans="1:6" x14ac:dyDescent="0.2">
      <c r="A1378" s="27"/>
      <c r="B1378" s="27"/>
      <c r="C1378" s="27"/>
      <c r="D1378" s="35"/>
      <c r="E1378" s="28"/>
      <c r="F1378" s="28"/>
    </row>
    <row r="1379" spans="1:6" x14ac:dyDescent="0.2">
      <c r="A1379" s="27"/>
      <c r="B1379" s="27"/>
      <c r="C1379" s="27"/>
      <c r="D1379" s="35"/>
      <c r="E1379" s="28"/>
      <c r="F1379" s="28"/>
    </row>
    <row r="1380" spans="1:6" x14ac:dyDescent="0.2">
      <c r="A1380" s="27"/>
      <c r="B1380" s="27"/>
      <c r="C1380" s="27"/>
      <c r="D1380" s="35"/>
      <c r="E1380" s="28"/>
      <c r="F1380" s="28"/>
    </row>
    <row r="1381" spans="1:6" x14ac:dyDescent="0.2">
      <c r="A1381" s="27"/>
      <c r="B1381" s="27"/>
      <c r="C1381" s="27"/>
      <c r="D1381" s="35"/>
      <c r="E1381" s="28"/>
      <c r="F1381" s="28"/>
    </row>
    <row r="1382" spans="1:6" x14ac:dyDescent="0.2">
      <c r="A1382" s="27"/>
      <c r="B1382" s="27"/>
      <c r="C1382" s="27"/>
      <c r="D1382" s="35"/>
      <c r="E1382" s="28"/>
      <c r="F1382" s="28"/>
    </row>
    <row r="1383" spans="1:6" x14ac:dyDescent="0.2">
      <c r="A1383" s="27"/>
      <c r="B1383" s="27"/>
      <c r="C1383" s="27"/>
      <c r="D1383" s="35"/>
      <c r="E1383" s="28"/>
      <c r="F1383" s="28"/>
    </row>
    <row r="1384" spans="1:6" x14ac:dyDescent="0.2">
      <c r="A1384" s="27"/>
      <c r="B1384" s="27"/>
      <c r="C1384" s="27"/>
      <c r="D1384" s="35"/>
      <c r="E1384" s="28"/>
      <c r="F1384" s="28"/>
    </row>
    <row r="1385" spans="1:6" x14ac:dyDescent="0.2">
      <c r="A1385" s="27"/>
      <c r="B1385" s="27"/>
      <c r="C1385" s="27"/>
      <c r="D1385" s="35"/>
      <c r="E1385" s="28"/>
      <c r="F1385" s="28"/>
    </row>
    <row r="1386" spans="1:6" x14ac:dyDescent="0.2">
      <c r="A1386" s="27"/>
      <c r="B1386" s="27"/>
      <c r="C1386" s="27"/>
      <c r="D1386" s="35"/>
      <c r="E1386" s="28"/>
      <c r="F1386" s="28"/>
    </row>
    <row r="1387" spans="1:6" x14ac:dyDescent="0.2">
      <c r="A1387" s="27"/>
      <c r="B1387" s="27"/>
      <c r="C1387" s="27"/>
      <c r="D1387" s="35"/>
      <c r="E1387" s="28"/>
      <c r="F1387" s="28"/>
    </row>
    <row r="1388" spans="1:6" x14ac:dyDescent="0.2">
      <c r="A1388" s="27"/>
      <c r="B1388" s="27"/>
      <c r="C1388" s="27"/>
      <c r="D1388" s="35"/>
      <c r="E1388" s="28"/>
      <c r="F1388" s="28"/>
    </row>
    <row r="1389" spans="1:6" x14ac:dyDescent="0.2">
      <c r="A1389" s="27"/>
      <c r="B1389" s="27"/>
      <c r="C1389" s="27"/>
      <c r="D1389" s="35"/>
      <c r="E1389" s="28"/>
      <c r="F1389" s="28"/>
    </row>
    <row r="1390" spans="1:6" x14ac:dyDescent="0.2">
      <c r="A1390" s="27"/>
      <c r="B1390" s="27"/>
      <c r="C1390" s="27"/>
      <c r="D1390" s="35"/>
      <c r="E1390" s="28"/>
      <c r="F1390" s="28"/>
    </row>
    <row r="1391" spans="1:6" x14ac:dyDescent="0.2">
      <c r="A1391" s="27"/>
      <c r="B1391" s="27"/>
      <c r="C1391" s="27"/>
      <c r="D1391" s="35"/>
      <c r="E1391" s="28"/>
      <c r="F1391" s="28"/>
    </row>
    <row r="1392" spans="1:6" x14ac:dyDescent="0.2">
      <c r="A1392" s="27"/>
      <c r="B1392" s="27"/>
      <c r="C1392" s="27"/>
      <c r="D1392" s="35"/>
      <c r="E1392" s="28"/>
      <c r="F1392" s="28"/>
    </row>
    <row r="1393" spans="1:6" x14ac:dyDescent="0.2">
      <c r="A1393" s="27"/>
      <c r="B1393" s="27"/>
      <c r="C1393" s="27"/>
      <c r="D1393" s="35"/>
      <c r="E1393" s="28"/>
      <c r="F1393" s="28"/>
    </row>
    <row r="1394" spans="1:6" x14ac:dyDescent="0.2">
      <c r="A1394" s="27"/>
      <c r="B1394" s="27"/>
      <c r="C1394" s="27"/>
      <c r="D1394" s="35"/>
      <c r="E1394" s="28"/>
      <c r="F1394" s="28"/>
    </row>
    <row r="1395" spans="1:6" x14ac:dyDescent="0.2">
      <c r="A1395" s="27"/>
      <c r="B1395" s="27"/>
      <c r="C1395" s="27"/>
      <c r="D1395" s="35"/>
      <c r="E1395" s="28"/>
      <c r="F1395" s="28"/>
    </row>
    <row r="1396" spans="1:6" x14ac:dyDescent="0.2">
      <c r="A1396" s="27"/>
      <c r="B1396" s="27"/>
      <c r="C1396" s="27"/>
      <c r="D1396" s="35"/>
      <c r="E1396" s="28"/>
      <c r="F1396" s="28"/>
    </row>
    <row r="1397" spans="1:6" x14ac:dyDescent="0.2">
      <c r="A1397" s="27"/>
      <c r="B1397" s="27"/>
      <c r="C1397" s="27"/>
      <c r="D1397" s="35"/>
      <c r="E1397" s="28"/>
      <c r="F1397" s="28"/>
    </row>
    <row r="1398" spans="1:6" x14ac:dyDescent="0.2">
      <c r="A1398" s="27"/>
      <c r="B1398" s="27"/>
      <c r="C1398" s="27"/>
      <c r="D1398" s="35"/>
      <c r="E1398" s="28"/>
      <c r="F1398" s="28"/>
    </row>
    <row r="1399" spans="1:6" x14ac:dyDescent="0.2">
      <c r="A1399" s="27"/>
      <c r="B1399" s="27"/>
      <c r="C1399" s="27"/>
      <c r="D1399" s="35"/>
      <c r="E1399" s="28"/>
      <c r="F1399" s="28"/>
    </row>
    <row r="1400" spans="1:6" x14ac:dyDescent="0.2">
      <c r="A1400" s="27"/>
      <c r="B1400" s="27"/>
      <c r="C1400" s="27"/>
      <c r="D1400" s="35"/>
      <c r="E1400" s="28"/>
      <c r="F1400" s="28"/>
    </row>
    <row r="1401" spans="1:6" x14ac:dyDescent="0.2">
      <c r="A1401" s="27"/>
      <c r="B1401" s="27"/>
      <c r="C1401" s="27"/>
      <c r="D1401" s="35"/>
      <c r="E1401" s="28"/>
      <c r="F1401" s="28"/>
    </row>
    <row r="1402" spans="1:6" x14ac:dyDescent="0.2">
      <c r="A1402" s="27"/>
      <c r="B1402" s="27"/>
      <c r="C1402" s="27"/>
      <c r="D1402" s="35"/>
      <c r="E1402" s="28"/>
      <c r="F1402" s="28"/>
    </row>
    <row r="1403" spans="1:6" x14ac:dyDescent="0.2">
      <c r="A1403" s="27"/>
      <c r="B1403" s="27"/>
      <c r="C1403" s="27"/>
      <c r="D1403" s="35"/>
      <c r="E1403" s="28"/>
      <c r="F1403" s="28"/>
    </row>
    <row r="1404" spans="1:6" x14ac:dyDescent="0.2">
      <c r="A1404" s="27"/>
      <c r="B1404" s="27"/>
      <c r="C1404" s="27"/>
      <c r="D1404" s="35"/>
      <c r="E1404" s="28"/>
      <c r="F1404" s="28"/>
    </row>
    <row r="1405" spans="1:6" x14ac:dyDescent="0.2">
      <c r="A1405" s="27"/>
      <c r="B1405" s="27"/>
      <c r="C1405" s="27"/>
      <c r="D1405" s="35"/>
      <c r="E1405" s="28"/>
      <c r="F1405" s="28"/>
    </row>
    <row r="1406" spans="1:6" x14ac:dyDescent="0.2">
      <c r="A1406" s="27"/>
      <c r="B1406" s="27"/>
      <c r="C1406" s="27"/>
      <c r="D1406" s="35"/>
      <c r="E1406" s="28"/>
      <c r="F1406" s="28"/>
    </row>
    <row r="1407" spans="1:6" x14ac:dyDescent="0.2">
      <c r="A1407" s="27"/>
      <c r="B1407" s="27"/>
      <c r="C1407" s="27"/>
      <c r="D1407" s="35"/>
      <c r="E1407" s="28"/>
      <c r="F1407" s="28"/>
    </row>
    <row r="1408" spans="1:6" x14ac:dyDescent="0.2">
      <c r="A1408" s="27"/>
      <c r="B1408" s="27"/>
      <c r="C1408" s="27"/>
      <c r="D1408" s="35"/>
      <c r="E1408" s="28"/>
      <c r="F1408" s="28"/>
    </row>
    <row r="1409" spans="1:6" x14ac:dyDescent="0.2">
      <c r="A1409" s="27"/>
      <c r="B1409" s="27"/>
      <c r="C1409" s="27"/>
      <c r="D1409" s="35"/>
      <c r="E1409" s="28"/>
      <c r="F1409" s="28"/>
    </row>
    <row r="1410" spans="1:6" x14ac:dyDescent="0.2">
      <c r="A1410" s="27"/>
      <c r="B1410" s="27"/>
      <c r="C1410" s="27"/>
      <c r="D1410" s="35"/>
      <c r="E1410" s="28"/>
      <c r="F1410" s="28"/>
    </row>
    <row r="1411" spans="1:6" x14ac:dyDescent="0.2">
      <c r="A1411" s="27"/>
      <c r="B1411" s="27"/>
      <c r="C1411" s="27"/>
      <c r="D1411" s="35"/>
      <c r="E1411" s="28"/>
      <c r="F1411" s="28"/>
    </row>
    <row r="1412" spans="1:6" x14ac:dyDescent="0.2">
      <c r="A1412" s="27"/>
      <c r="B1412" s="27"/>
      <c r="C1412" s="27"/>
      <c r="D1412" s="35"/>
      <c r="E1412" s="28"/>
      <c r="F1412" s="28"/>
    </row>
    <row r="1413" spans="1:6" x14ac:dyDescent="0.2">
      <c r="A1413" s="27"/>
      <c r="B1413" s="27"/>
      <c r="C1413" s="27"/>
      <c r="D1413" s="35"/>
      <c r="E1413" s="28"/>
      <c r="F1413" s="28"/>
    </row>
    <row r="1414" spans="1:6" x14ac:dyDescent="0.2">
      <c r="A1414" s="27"/>
      <c r="B1414" s="27"/>
      <c r="C1414" s="27"/>
      <c r="D1414" s="35"/>
      <c r="E1414" s="28"/>
      <c r="F1414" s="28"/>
    </row>
    <row r="1415" spans="1:6" x14ac:dyDescent="0.2">
      <c r="A1415" s="27"/>
      <c r="B1415" s="27"/>
      <c r="C1415" s="27"/>
      <c r="D1415" s="35"/>
      <c r="E1415" s="28"/>
      <c r="F1415" s="28"/>
    </row>
    <row r="1416" spans="1:6" x14ac:dyDescent="0.2">
      <c r="A1416" s="27"/>
      <c r="B1416" s="27"/>
      <c r="C1416" s="27"/>
      <c r="D1416" s="35"/>
      <c r="E1416" s="28"/>
      <c r="F1416" s="28"/>
    </row>
    <row r="1417" spans="1:6" x14ac:dyDescent="0.2">
      <c r="A1417" s="27"/>
      <c r="B1417" s="27"/>
      <c r="C1417" s="27"/>
      <c r="D1417" s="35"/>
      <c r="E1417" s="28"/>
      <c r="F1417" s="28"/>
    </row>
    <row r="1418" spans="1:6" x14ac:dyDescent="0.2">
      <c r="A1418" s="27"/>
      <c r="B1418" s="27"/>
      <c r="C1418" s="27"/>
      <c r="D1418" s="35"/>
      <c r="E1418" s="28"/>
      <c r="F1418" s="28"/>
    </row>
    <row r="1419" spans="1:6" x14ac:dyDescent="0.2">
      <c r="A1419" s="27"/>
      <c r="B1419" s="27"/>
      <c r="C1419" s="27"/>
      <c r="D1419" s="35"/>
      <c r="E1419" s="28"/>
      <c r="F1419" s="28"/>
    </row>
    <row r="1420" spans="1:6" x14ac:dyDescent="0.2">
      <c r="A1420" s="27"/>
      <c r="B1420" s="27"/>
      <c r="C1420" s="27"/>
      <c r="D1420" s="35"/>
      <c r="E1420" s="28"/>
      <c r="F1420" s="28"/>
    </row>
    <row r="1421" spans="1:6" x14ac:dyDescent="0.2">
      <c r="A1421" s="27"/>
      <c r="B1421" s="27"/>
      <c r="C1421" s="27"/>
      <c r="D1421" s="35"/>
      <c r="E1421" s="28"/>
      <c r="F1421" s="28"/>
    </row>
    <row r="1422" spans="1:6" x14ac:dyDescent="0.2">
      <c r="A1422" s="27"/>
      <c r="B1422" s="27"/>
      <c r="C1422" s="27"/>
      <c r="D1422" s="35"/>
      <c r="E1422" s="28"/>
      <c r="F1422" s="28"/>
    </row>
    <row r="1423" spans="1:6" x14ac:dyDescent="0.2">
      <c r="A1423" s="27"/>
      <c r="B1423" s="27"/>
      <c r="C1423" s="27"/>
      <c r="D1423" s="35"/>
      <c r="E1423" s="28"/>
      <c r="F1423" s="28"/>
    </row>
    <row r="1424" spans="1:6" x14ac:dyDescent="0.2">
      <c r="A1424" s="27"/>
      <c r="B1424" s="27"/>
      <c r="C1424" s="27"/>
      <c r="D1424" s="35"/>
      <c r="E1424" s="28"/>
      <c r="F1424" s="28"/>
    </row>
    <row r="1425" spans="1:6" x14ac:dyDescent="0.2">
      <c r="A1425" s="27"/>
      <c r="B1425" s="27"/>
      <c r="C1425" s="27"/>
      <c r="D1425" s="35"/>
      <c r="E1425" s="28"/>
      <c r="F1425" s="28"/>
    </row>
    <row r="1426" spans="1:6" x14ac:dyDescent="0.2">
      <c r="A1426" s="27"/>
      <c r="B1426" s="27"/>
      <c r="C1426" s="27"/>
      <c r="D1426" s="35"/>
      <c r="E1426" s="28"/>
      <c r="F1426" s="28"/>
    </row>
    <row r="1427" spans="1:6" x14ac:dyDescent="0.2">
      <c r="A1427" s="27"/>
      <c r="B1427" s="27"/>
      <c r="C1427" s="27"/>
      <c r="D1427" s="35"/>
      <c r="E1427" s="28"/>
      <c r="F1427" s="28"/>
    </row>
    <row r="1428" spans="1:6" x14ac:dyDescent="0.2">
      <c r="A1428" s="27"/>
      <c r="B1428" s="27"/>
      <c r="C1428" s="27"/>
      <c r="D1428" s="35"/>
      <c r="E1428" s="28"/>
      <c r="F1428" s="28"/>
    </row>
    <row r="1429" spans="1:6" x14ac:dyDescent="0.2">
      <c r="A1429" s="27"/>
      <c r="B1429" s="27"/>
      <c r="C1429" s="27"/>
      <c r="D1429" s="35"/>
      <c r="E1429" s="28"/>
      <c r="F1429" s="28"/>
    </row>
    <row r="1430" spans="1:6" x14ac:dyDescent="0.2">
      <c r="A1430" s="27"/>
      <c r="B1430" s="27"/>
      <c r="C1430" s="27"/>
      <c r="D1430" s="35"/>
      <c r="E1430" s="28"/>
      <c r="F1430" s="28"/>
    </row>
    <row r="1431" spans="1:6" x14ac:dyDescent="0.2">
      <c r="A1431" s="27"/>
      <c r="B1431" s="27"/>
      <c r="C1431" s="27"/>
      <c r="D1431" s="35"/>
      <c r="E1431" s="28"/>
      <c r="F1431" s="28"/>
    </row>
    <row r="1432" spans="1:6" x14ac:dyDescent="0.2">
      <c r="A1432" s="27"/>
      <c r="B1432" s="27"/>
      <c r="C1432" s="27"/>
      <c r="D1432" s="35"/>
      <c r="E1432" s="28"/>
      <c r="F1432" s="28"/>
    </row>
    <row r="1433" spans="1:6" x14ac:dyDescent="0.2">
      <c r="A1433" s="27"/>
      <c r="B1433" s="27"/>
      <c r="C1433" s="27"/>
      <c r="D1433" s="35"/>
      <c r="E1433" s="28"/>
      <c r="F1433" s="28"/>
    </row>
    <row r="1434" spans="1:6" x14ac:dyDescent="0.2">
      <c r="A1434" s="27"/>
      <c r="B1434" s="27"/>
      <c r="C1434" s="27"/>
      <c r="D1434" s="35"/>
      <c r="E1434" s="28"/>
      <c r="F1434" s="28"/>
    </row>
    <row r="1435" spans="1:6" x14ac:dyDescent="0.2">
      <c r="A1435" s="27"/>
      <c r="B1435" s="27"/>
      <c r="C1435" s="27"/>
      <c r="D1435" s="35"/>
      <c r="E1435" s="28"/>
      <c r="F1435" s="28"/>
    </row>
    <row r="1436" spans="1:6" x14ac:dyDescent="0.2">
      <c r="A1436" s="27"/>
      <c r="B1436" s="27"/>
      <c r="C1436" s="27"/>
      <c r="D1436" s="35"/>
      <c r="E1436" s="28"/>
      <c r="F1436" s="28"/>
    </row>
    <row r="1437" spans="1:6" x14ac:dyDescent="0.2">
      <c r="A1437" s="27"/>
      <c r="B1437" s="27"/>
      <c r="C1437" s="27"/>
      <c r="D1437" s="35"/>
      <c r="E1437" s="28"/>
      <c r="F1437" s="28"/>
    </row>
    <row r="1438" spans="1:6" x14ac:dyDescent="0.2">
      <c r="A1438" s="27"/>
      <c r="B1438" s="27"/>
      <c r="C1438" s="27"/>
      <c r="D1438" s="35"/>
      <c r="E1438" s="28"/>
      <c r="F1438" s="28"/>
    </row>
    <row r="1439" spans="1:6" x14ac:dyDescent="0.2">
      <c r="A1439" s="27"/>
      <c r="B1439" s="27"/>
      <c r="C1439" s="27"/>
      <c r="D1439" s="35"/>
      <c r="E1439" s="28"/>
      <c r="F1439" s="28"/>
    </row>
    <row r="1440" spans="1:6" x14ac:dyDescent="0.2">
      <c r="A1440" s="27"/>
      <c r="B1440" s="27"/>
      <c r="C1440" s="27"/>
      <c r="D1440" s="35"/>
      <c r="E1440" s="28"/>
      <c r="F1440" s="28"/>
    </row>
    <row r="1441" spans="1:6" x14ac:dyDescent="0.2">
      <c r="A1441" s="27"/>
      <c r="B1441" s="27"/>
      <c r="C1441" s="27"/>
      <c r="D1441" s="35"/>
      <c r="E1441" s="28"/>
      <c r="F1441" s="28"/>
    </row>
    <row r="1442" spans="1:6" x14ac:dyDescent="0.2">
      <c r="A1442" s="27"/>
      <c r="B1442" s="27"/>
      <c r="C1442" s="27"/>
      <c r="D1442" s="35"/>
      <c r="E1442" s="28"/>
      <c r="F1442" s="28"/>
    </row>
    <row r="1443" spans="1:6" x14ac:dyDescent="0.2">
      <c r="A1443" s="27"/>
      <c r="B1443" s="27"/>
      <c r="C1443" s="27"/>
      <c r="D1443" s="35"/>
      <c r="E1443" s="28"/>
      <c r="F1443" s="28"/>
    </row>
    <row r="1444" spans="1:6" x14ac:dyDescent="0.2">
      <c r="A1444" s="27"/>
      <c r="B1444" s="27"/>
      <c r="C1444" s="27"/>
      <c r="D1444" s="35"/>
      <c r="E1444" s="28"/>
      <c r="F1444" s="28"/>
    </row>
    <row r="1445" spans="1:6" x14ac:dyDescent="0.2">
      <c r="A1445" s="27"/>
      <c r="B1445" s="27"/>
      <c r="C1445" s="27"/>
      <c r="D1445" s="35"/>
      <c r="E1445" s="28"/>
      <c r="F1445" s="28"/>
    </row>
    <row r="1446" spans="1:6" x14ac:dyDescent="0.2">
      <c r="A1446" s="27"/>
      <c r="B1446" s="27"/>
      <c r="C1446" s="27"/>
      <c r="D1446" s="35"/>
      <c r="E1446" s="28"/>
      <c r="F1446" s="28"/>
    </row>
    <row r="1447" spans="1:6" x14ac:dyDescent="0.2">
      <c r="A1447" s="27"/>
      <c r="B1447" s="27"/>
      <c r="C1447" s="27"/>
      <c r="D1447" s="35"/>
      <c r="E1447" s="28"/>
      <c r="F1447" s="28"/>
    </row>
    <row r="1448" spans="1:6" x14ac:dyDescent="0.2">
      <c r="A1448" s="27"/>
      <c r="B1448" s="27"/>
      <c r="C1448" s="27"/>
      <c r="D1448" s="35"/>
      <c r="E1448" s="28"/>
      <c r="F1448" s="28"/>
    </row>
    <row r="1449" spans="1:6" x14ac:dyDescent="0.2">
      <c r="A1449" s="27"/>
      <c r="B1449" s="27"/>
      <c r="C1449" s="27"/>
      <c r="D1449" s="35"/>
      <c r="E1449" s="28"/>
      <c r="F1449" s="28"/>
    </row>
    <row r="1450" spans="1:6" x14ac:dyDescent="0.2">
      <c r="A1450" s="27"/>
      <c r="B1450" s="27"/>
      <c r="C1450" s="27"/>
      <c r="D1450" s="35"/>
      <c r="E1450" s="28"/>
      <c r="F1450" s="28"/>
    </row>
    <row r="1451" spans="1:6" x14ac:dyDescent="0.2">
      <c r="A1451" s="27"/>
      <c r="B1451" s="27"/>
      <c r="C1451" s="27"/>
      <c r="D1451" s="35"/>
      <c r="E1451" s="28"/>
      <c r="F1451" s="28"/>
    </row>
    <row r="1452" spans="1:6" x14ac:dyDescent="0.2">
      <c r="A1452" s="27"/>
      <c r="B1452" s="27"/>
      <c r="C1452" s="27"/>
      <c r="D1452" s="35"/>
      <c r="E1452" s="28"/>
      <c r="F1452" s="28"/>
    </row>
    <row r="1453" spans="1:6" x14ac:dyDescent="0.2">
      <c r="A1453" s="27"/>
      <c r="B1453" s="27"/>
      <c r="C1453" s="27"/>
      <c r="D1453" s="35"/>
      <c r="E1453" s="28"/>
      <c r="F1453" s="28"/>
    </row>
    <row r="1454" spans="1:6" x14ac:dyDescent="0.2">
      <c r="A1454" s="27"/>
      <c r="B1454" s="27"/>
      <c r="C1454" s="27"/>
      <c r="D1454" s="35"/>
      <c r="E1454" s="28"/>
      <c r="F1454" s="28"/>
    </row>
    <row r="1455" spans="1:6" x14ac:dyDescent="0.2">
      <c r="A1455" s="27"/>
      <c r="B1455" s="27"/>
      <c r="C1455" s="27"/>
      <c r="D1455" s="35"/>
      <c r="E1455" s="28"/>
      <c r="F1455" s="28"/>
    </row>
    <row r="1456" spans="1:6" x14ac:dyDescent="0.2">
      <c r="A1456" s="27"/>
      <c r="B1456" s="27"/>
      <c r="C1456" s="27"/>
      <c r="D1456" s="35"/>
      <c r="E1456" s="28"/>
      <c r="F1456" s="28"/>
    </row>
    <row r="1457" spans="1:6" x14ac:dyDescent="0.2">
      <c r="A1457" s="27"/>
      <c r="B1457" s="27"/>
      <c r="C1457" s="27"/>
      <c r="D1457" s="35"/>
      <c r="E1457" s="28"/>
      <c r="F1457" s="28"/>
    </row>
    <row r="1458" spans="1:6" x14ac:dyDescent="0.2">
      <c r="A1458" s="27"/>
      <c r="B1458" s="27"/>
      <c r="C1458" s="27"/>
      <c r="D1458" s="35"/>
      <c r="E1458" s="28"/>
      <c r="F1458" s="28"/>
    </row>
    <row r="1459" spans="1:6" x14ac:dyDescent="0.2">
      <c r="A1459" s="27"/>
      <c r="B1459" s="27"/>
      <c r="C1459" s="27"/>
      <c r="D1459" s="35"/>
      <c r="E1459" s="28"/>
      <c r="F1459" s="28"/>
    </row>
    <row r="1460" spans="1:6" x14ac:dyDescent="0.2">
      <c r="A1460" s="27"/>
      <c r="B1460" s="27"/>
      <c r="C1460" s="27"/>
      <c r="D1460" s="35"/>
      <c r="E1460" s="28"/>
      <c r="F1460" s="28"/>
    </row>
    <row r="1461" spans="1:6" x14ac:dyDescent="0.2">
      <c r="A1461" s="27"/>
      <c r="B1461" s="27"/>
      <c r="C1461" s="27"/>
      <c r="D1461" s="35"/>
      <c r="E1461" s="28"/>
      <c r="F1461" s="28"/>
    </row>
    <row r="1462" spans="1:6" x14ac:dyDescent="0.2">
      <c r="A1462" s="27"/>
      <c r="B1462" s="27"/>
      <c r="C1462" s="27"/>
      <c r="D1462" s="35"/>
      <c r="E1462" s="28"/>
      <c r="F1462" s="28"/>
    </row>
    <row r="1463" spans="1:6" x14ac:dyDescent="0.2">
      <c r="A1463" s="27"/>
      <c r="B1463" s="27"/>
      <c r="C1463" s="27"/>
      <c r="D1463" s="35"/>
      <c r="E1463" s="28"/>
      <c r="F1463" s="28"/>
    </row>
    <row r="1464" spans="1:6" x14ac:dyDescent="0.2">
      <c r="A1464" s="27"/>
      <c r="B1464" s="27"/>
      <c r="C1464" s="27"/>
      <c r="D1464" s="35"/>
      <c r="E1464" s="28"/>
      <c r="F1464" s="28"/>
    </row>
    <row r="1465" spans="1:6" x14ac:dyDescent="0.2">
      <c r="A1465" s="27"/>
      <c r="B1465" s="27"/>
      <c r="C1465" s="27"/>
      <c r="D1465" s="35"/>
      <c r="E1465" s="28"/>
      <c r="F1465" s="28"/>
    </row>
    <row r="1466" spans="1:6" x14ac:dyDescent="0.2">
      <c r="A1466" s="27"/>
      <c r="B1466" s="27"/>
      <c r="C1466" s="27"/>
      <c r="D1466" s="35"/>
      <c r="E1466" s="28"/>
      <c r="F1466" s="28"/>
    </row>
    <row r="1467" spans="1:6" x14ac:dyDescent="0.2">
      <c r="A1467" s="27"/>
      <c r="B1467" s="27"/>
      <c r="C1467" s="27"/>
      <c r="D1467" s="35"/>
      <c r="E1467" s="28"/>
      <c r="F1467" s="28"/>
    </row>
    <row r="1468" spans="1:6" x14ac:dyDescent="0.2">
      <c r="A1468" s="27"/>
      <c r="B1468" s="27"/>
      <c r="C1468" s="27"/>
      <c r="D1468" s="35"/>
      <c r="E1468" s="28"/>
      <c r="F1468" s="28"/>
    </row>
    <row r="1469" spans="1:6" x14ac:dyDescent="0.2">
      <c r="A1469" s="27"/>
      <c r="B1469" s="27"/>
      <c r="C1469" s="27"/>
      <c r="D1469" s="35"/>
      <c r="E1469" s="28"/>
      <c r="F1469" s="28"/>
    </row>
    <row r="1470" spans="1:6" x14ac:dyDescent="0.2">
      <c r="A1470" s="27"/>
      <c r="B1470" s="27"/>
      <c r="C1470" s="27"/>
      <c r="D1470" s="35"/>
      <c r="E1470" s="28"/>
      <c r="F1470" s="28"/>
    </row>
    <row r="1471" spans="1:6" x14ac:dyDescent="0.2">
      <c r="A1471" s="27"/>
      <c r="B1471" s="27"/>
      <c r="C1471" s="27"/>
      <c r="D1471" s="35"/>
      <c r="E1471" s="28"/>
      <c r="F1471" s="28"/>
    </row>
    <row r="1472" spans="1:6" x14ac:dyDescent="0.2">
      <c r="A1472" s="27"/>
      <c r="B1472" s="27"/>
      <c r="C1472" s="27"/>
      <c r="D1472" s="35"/>
      <c r="E1472" s="28"/>
      <c r="F1472" s="28"/>
    </row>
    <row r="1473" spans="1:6" x14ac:dyDescent="0.2">
      <c r="A1473" s="27"/>
      <c r="B1473" s="27"/>
      <c r="C1473" s="27"/>
      <c r="D1473" s="35"/>
      <c r="E1473" s="28"/>
      <c r="F1473" s="28"/>
    </row>
    <row r="1474" spans="1:6" x14ac:dyDescent="0.2">
      <c r="A1474" s="27"/>
      <c r="B1474" s="27"/>
      <c r="C1474" s="27"/>
      <c r="D1474" s="35"/>
      <c r="E1474" s="28"/>
      <c r="F1474" s="28"/>
    </row>
    <row r="1475" spans="1:6" x14ac:dyDescent="0.2">
      <c r="A1475" s="27"/>
      <c r="B1475" s="27"/>
      <c r="C1475" s="27"/>
      <c r="D1475" s="35"/>
      <c r="E1475" s="28"/>
      <c r="F1475" s="28"/>
    </row>
    <row r="1476" spans="1:6" x14ac:dyDescent="0.2">
      <c r="A1476" s="27"/>
      <c r="B1476" s="27"/>
      <c r="C1476" s="27"/>
      <c r="D1476" s="35"/>
      <c r="E1476" s="28"/>
      <c r="F1476" s="28"/>
    </row>
    <row r="1477" spans="1:6" x14ac:dyDescent="0.2">
      <c r="A1477" s="27"/>
      <c r="B1477" s="27"/>
      <c r="C1477" s="27"/>
      <c r="D1477" s="35"/>
      <c r="E1477" s="28"/>
      <c r="F1477" s="28"/>
    </row>
    <row r="1478" spans="1:6" x14ac:dyDescent="0.2">
      <c r="A1478" s="27"/>
      <c r="B1478" s="27"/>
      <c r="C1478" s="27"/>
      <c r="D1478" s="35"/>
      <c r="E1478" s="28"/>
      <c r="F1478" s="28"/>
    </row>
    <row r="1479" spans="1:6" x14ac:dyDescent="0.2">
      <c r="A1479" s="27"/>
      <c r="B1479" s="27"/>
      <c r="C1479" s="27"/>
      <c r="D1479" s="35"/>
      <c r="E1479" s="28"/>
      <c r="F1479" s="28"/>
    </row>
    <row r="1480" spans="1:6" x14ac:dyDescent="0.2">
      <c r="A1480" s="27"/>
      <c r="B1480" s="27"/>
      <c r="C1480" s="27"/>
      <c r="D1480" s="35"/>
      <c r="E1480" s="28"/>
      <c r="F1480" s="28"/>
    </row>
    <row r="1481" spans="1:6" x14ac:dyDescent="0.2">
      <c r="A1481" s="27"/>
      <c r="B1481" s="27"/>
      <c r="C1481" s="27"/>
      <c r="D1481" s="35"/>
      <c r="E1481" s="28"/>
      <c r="F1481" s="28"/>
    </row>
    <row r="1482" spans="1:6" x14ac:dyDescent="0.2">
      <c r="A1482" s="27"/>
      <c r="B1482" s="27"/>
      <c r="C1482" s="27"/>
      <c r="D1482" s="35"/>
      <c r="E1482" s="28"/>
      <c r="F1482" s="28"/>
    </row>
    <row r="1483" spans="1:6" x14ac:dyDescent="0.2">
      <c r="A1483" s="27"/>
      <c r="B1483" s="27"/>
      <c r="C1483" s="27"/>
      <c r="D1483" s="35"/>
      <c r="E1483" s="28"/>
      <c r="F1483" s="28"/>
    </row>
    <row r="1484" spans="1:6" x14ac:dyDescent="0.2">
      <c r="A1484" s="27"/>
      <c r="B1484" s="27"/>
      <c r="C1484" s="27"/>
      <c r="D1484" s="35"/>
      <c r="E1484" s="28"/>
      <c r="F1484" s="28"/>
    </row>
    <row r="1485" spans="1:6" x14ac:dyDescent="0.2">
      <c r="A1485" s="27"/>
      <c r="B1485" s="27"/>
      <c r="C1485" s="27"/>
      <c r="D1485" s="35"/>
      <c r="E1485" s="28"/>
      <c r="F1485" s="28"/>
    </row>
    <row r="1486" spans="1:6" x14ac:dyDescent="0.2">
      <c r="A1486" s="27"/>
      <c r="B1486" s="27"/>
      <c r="C1486" s="27"/>
      <c r="D1486" s="35"/>
      <c r="E1486" s="28"/>
      <c r="F1486" s="28"/>
    </row>
    <row r="1487" spans="1:6" x14ac:dyDescent="0.2">
      <c r="A1487" s="27"/>
      <c r="B1487" s="27"/>
      <c r="C1487" s="27"/>
      <c r="D1487" s="35"/>
      <c r="E1487" s="28"/>
      <c r="F1487" s="28"/>
    </row>
    <row r="1488" spans="1:6" x14ac:dyDescent="0.2">
      <c r="A1488" s="27"/>
      <c r="B1488" s="27"/>
      <c r="C1488" s="27"/>
      <c r="D1488" s="35"/>
      <c r="E1488" s="28"/>
      <c r="F1488" s="28"/>
    </row>
    <row r="1489" spans="1:6" x14ac:dyDescent="0.2">
      <c r="A1489" s="27"/>
      <c r="B1489" s="27"/>
      <c r="C1489" s="27"/>
      <c r="D1489" s="35"/>
      <c r="E1489" s="28"/>
      <c r="F1489" s="28"/>
    </row>
    <row r="1490" spans="1:6" x14ac:dyDescent="0.2">
      <c r="A1490" s="27"/>
      <c r="B1490" s="27"/>
      <c r="C1490" s="27"/>
      <c r="D1490" s="35"/>
      <c r="E1490" s="28"/>
      <c r="F1490" s="28"/>
    </row>
    <row r="1491" spans="1:6" x14ac:dyDescent="0.2">
      <c r="A1491" s="27"/>
      <c r="B1491" s="27"/>
      <c r="C1491" s="27"/>
      <c r="D1491" s="35"/>
      <c r="E1491" s="28"/>
      <c r="F1491" s="28"/>
    </row>
    <row r="1492" spans="1:6" x14ac:dyDescent="0.2">
      <c r="A1492" s="27"/>
      <c r="B1492" s="27"/>
      <c r="C1492" s="27"/>
      <c r="D1492" s="35"/>
      <c r="E1492" s="28"/>
      <c r="F1492" s="28"/>
    </row>
    <row r="1493" spans="1:6" x14ac:dyDescent="0.2">
      <c r="A1493" s="27"/>
      <c r="B1493" s="27"/>
      <c r="C1493" s="27"/>
      <c r="D1493" s="35"/>
      <c r="E1493" s="28"/>
      <c r="F1493" s="28"/>
    </row>
    <row r="1494" spans="1:6" x14ac:dyDescent="0.2">
      <c r="A1494" s="27"/>
      <c r="B1494" s="27"/>
      <c r="C1494" s="27"/>
      <c r="D1494" s="35"/>
      <c r="E1494" s="28"/>
      <c r="F1494" s="28"/>
    </row>
    <row r="1495" spans="1:6" x14ac:dyDescent="0.2">
      <c r="A1495" s="27"/>
      <c r="B1495" s="27"/>
      <c r="C1495" s="27"/>
      <c r="D1495" s="35"/>
      <c r="E1495" s="28"/>
      <c r="F1495" s="28"/>
    </row>
    <row r="1496" spans="1:6" x14ac:dyDescent="0.2">
      <c r="A1496" s="27"/>
      <c r="B1496" s="27"/>
      <c r="C1496" s="27"/>
      <c r="D1496" s="35"/>
      <c r="E1496" s="28"/>
      <c r="F1496" s="28"/>
    </row>
    <row r="1497" spans="1:6" x14ac:dyDescent="0.2">
      <c r="A1497" s="27"/>
      <c r="B1497" s="27"/>
      <c r="C1497" s="27"/>
      <c r="D1497" s="35"/>
      <c r="E1497" s="28"/>
      <c r="F1497" s="28"/>
    </row>
    <row r="1498" spans="1:6" x14ac:dyDescent="0.2">
      <c r="A1498" s="27"/>
      <c r="B1498" s="27"/>
      <c r="C1498" s="27"/>
      <c r="D1498" s="35"/>
      <c r="E1498" s="28"/>
      <c r="F1498" s="28"/>
    </row>
    <row r="1499" spans="1:6" x14ac:dyDescent="0.2">
      <c r="A1499" s="27"/>
      <c r="B1499" s="27"/>
      <c r="C1499" s="27"/>
      <c r="D1499" s="35"/>
      <c r="E1499" s="28"/>
      <c r="F1499" s="28"/>
    </row>
    <row r="1500" spans="1:6" x14ac:dyDescent="0.2">
      <c r="A1500" s="27"/>
      <c r="B1500" s="27"/>
      <c r="C1500" s="27"/>
      <c r="D1500" s="35"/>
      <c r="E1500" s="28"/>
      <c r="F1500" s="28"/>
    </row>
    <row r="1501" spans="1:6" x14ac:dyDescent="0.2">
      <c r="A1501" s="27"/>
      <c r="B1501" s="27"/>
      <c r="C1501" s="27"/>
      <c r="D1501" s="35"/>
      <c r="E1501" s="28"/>
      <c r="F1501" s="28"/>
    </row>
    <row r="1502" spans="1:6" x14ac:dyDescent="0.2">
      <c r="A1502" s="27"/>
      <c r="B1502" s="27"/>
      <c r="C1502" s="27"/>
      <c r="D1502" s="35"/>
      <c r="E1502" s="28"/>
      <c r="F1502" s="28"/>
    </row>
    <row r="1503" spans="1:6" x14ac:dyDescent="0.2">
      <c r="A1503" s="27"/>
      <c r="B1503" s="27"/>
      <c r="C1503" s="27"/>
      <c r="D1503" s="35"/>
      <c r="E1503" s="28"/>
      <c r="F1503" s="28"/>
    </row>
    <row r="1504" spans="1:6" x14ac:dyDescent="0.2">
      <c r="A1504" s="27"/>
      <c r="B1504" s="27"/>
      <c r="C1504" s="27"/>
      <c r="D1504" s="35"/>
      <c r="E1504" s="28"/>
      <c r="F1504" s="28"/>
    </row>
    <row r="1505" spans="1:6" x14ac:dyDescent="0.2">
      <c r="A1505" s="27"/>
      <c r="B1505" s="27"/>
      <c r="C1505" s="27"/>
      <c r="D1505" s="35"/>
      <c r="E1505" s="28"/>
      <c r="F1505" s="28"/>
    </row>
    <row r="1506" spans="1:6" x14ac:dyDescent="0.2">
      <c r="A1506" s="27"/>
      <c r="B1506" s="27"/>
      <c r="C1506" s="27"/>
      <c r="D1506" s="35"/>
      <c r="E1506" s="28"/>
      <c r="F1506" s="28"/>
    </row>
    <row r="1507" spans="1:6" x14ac:dyDescent="0.2">
      <c r="A1507" s="27"/>
      <c r="B1507" s="27"/>
      <c r="C1507" s="27"/>
      <c r="D1507" s="35"/>
      <c r="E1507" s="28"/>
      <c r="F1507" s="28"/>
    </row>
    <row r="1508" spans="1:6" x14ac:dyDescent="0.2">
      <c r="A1508" s="27"/>
      <c r="B1508" s="27"/>
      <c r="C1508" s="27"/>
      <c r="D1508" s="35"/>
      <c r="E1508" s="28"/>
      <c r="F1508" s="28"/>
    </row>
    <row r="1509" spans="1:6" x14ac:dyDescent="0.2">
      <c r="A1509" s="27"/>
      <c r="B1509" s="27"/>
      <c r="C1509" s="27"/>
      <c r="D1509" s="35"/>
      <c r="E1509" s="28"/>
      <c r="F1509" s="28"/>
    </row>
    <row r="1510" spans="1:6" x14ac:dyDescent="0.2">
      <c r="A1510" s="27"/>
      <c r="B1510" s="27"/>
      <c r="C1510" s="27"/>
      <c r="D1510" s="35"/>
      <c r="E1510" s="28"/>
      <c r="F1510" s="28"/>
    </row>
    <row r="1511" spans="1:6" x14ac:dyDescent="0.2">
      <c r="A1511" s="27"/>
      <c r="B1511" s="27"/>
      <c r="C1511" s="27"/>
      <c r="D1511" s="35"/>
      <c r="E1511" s="28"/>
      <c r="F1511" s="28"/>
    </row>
    <row r="1512" spans="1:6" x14ac:dyDescent="0.2">
      <c r="A1512" s="27"/>
      <c r="B1512" s="27"/>
      <c r="C1512" s="27"/>
      <c r="D1512" s="35"/>
      <c r="E1512" s="28"/>
      <c r="F1512" s="28"/>
    </row>
    <row r="1513" spans="1:6" x14ac:dyDescent="0.2">
      <c r="A1513" s="27"/>
      <c r="B1513" s="27"/>
      <c r="C1513" s="27"/>
      <c r="D1513" s="35"/>
      <c r="E1513" s="28"/>
      <c r="F1513" s="28"/>
    </row>
    <row r="1514" spans="1:6" x14ac:dyDescent="0.2">
      <c r="A1514" s="27"/>
      <c r="B1514" s="27"/>
      <c r="C1514" s="27"/>
      <c r="D1514" s="35"/>
      <c r="E1514" s="28"/>
      <c r="F1514" s="28"/>
    </row>
    <row r="1515" spans="1:6" x14ac:dyDescent="0.2">
      <c r="A1515" s="27"/>
      <c r="B1515" s="27"/>
      <c r="C1515" s="27"/>
      <c r="D1515" s="35"/>
      <c r="E1515" s="28"/>
      <c r="F1515" s="28"/>
    </row>
    <row r="1516" spans="1:6" x14ac:dyDescent="0.2">
      <c r="A1516" s="27"/>
      <c r="B1516" s="27"/>
      <c r="C1516" s="27"/>
      <c r="D1516" s="35"/>
      <c r="E1516" s="28"/>
      <c r="F1516" s="28"/>
    </row>
    <row r="1517" spans="1:6" x14ac:dyDescent="0.2">
      <c r="A1517" s="27"/>
      <c r="B1517" s="27"/>
      <c r="C1517" s="27"/>
      <c r="D1517" s="35"/>
      <c r="E1517" s="28"/>
      <c r="F1517" s="28"/>
    </row>
    <row r="1518" spans="1:6" x14ac:dyDescent="0.2">
      <c r="A1518" s="27"/>
      <c r="B1518" s="27"/>
      <c r="C1518" s="27"/>
      <c r="D1518" s="35"/>
      <c r="E1518" s="28"/>
      <c r="F1518" s="28"/>
    </row>
    <row r="1519" spans="1:6" x14ac:dyDescent="0.2">
      <c r="A1519" s="27"/>
      <c r="B1519" s="27"/>
      <c r="C1519" s="27"/>
      <c r="D1519" s="35"/>
      <c r="E1519" s="28"/>
      <c r="F1519" s="28"/>
    </row>
    <row r="1520" spans="1:6" x14ac:dyDescent="0.2">
      <c r="A1520" s="27"/>
      <c r="B1520" s="27"/>
      <c r="C1520" s="27"/>
      <c r="D1520" s="35"/>
      <c r="E1520" s="28"/>
      <c r="F1520" s="28"/>
    </row>
    <row r="1521" spans="1:6" x14ac:dyDescent="0.2">
      <c r="A1521" s="27"/>
      <c r="B1521" s="27"/>
      <c r="C1521" s="27"/>
      <c r="D1521" s="35"/>
      <c r="E1521" s="28"/>
      <c r="F1521" s="28"/>
    </row>
    <row r="1522" spans="1:6" x14ac:dyDescent="0.2">
      <c r="A1522" s="27"/>
      <c r="B1522" s="27"/>
      <c r="C1522" s="27"/>
      <c r="D1522" s="35"/>
      <c r="E1522" s="28"/>
      <c r="F1522" s="28"/>
    </row>
    <row r="1523" spans="1:6" x14ac:dyDescent="0.2">
      <c r="A1523" s="27"/>
      <c r="B1523" s="27"/>
      <c r="C1523" s="27"/>
      <c r="D1523" s="35"/>
      <c r="E1523" s="28"/>
      <c r="F1523" s="28"/>
    </row>
    <row r="1524" spans="1:6" x14ac:dyDescent="0.2">
      <c r="A1524" s="27"/>
      <c r="B1524" s="27"/>
      <c r="C1524" s="27"/>
      <c r="D1524" s="35"/>
      <c r="E1524" s="28"/>
      <c r="F1524" s="28"/>
    </row>
    <row r="1525" spans="1:6" x14ac:dyDescent="0.2">
      <c r="A1525" s="27"/>
      <c r="B1525" s="27"/>
      <c r="C1525" s="27"/>
      <c r="D1525" s="35"/>
      <c r="E1525" s="28"/>
      <c r="F1525" s="28"/>
    </row>
    <row r="1526" spans="1:6" x14ac:dyDescent="0.2">
      <c r="A1526" s="27"/>
      <c r="B1526" s="27"/>
      <c r="C1526" s="27"/>
      <c r="D1526" s="35"/>
      <c r="E1526" s="28"/>
      <c r="F1526" s="28"/>
    </row>
    <row r="1527" spans="1:6" x14ac:dyDescent="0.2">
      <c r="A1527" s="27"/>
      <c r="B1527" s="27"/>
      <c r="C1527" s="27"/>
      <c r="D1527" s="35"/>
      <c r="E1527" s="28"/>
      <c r="F1527" s="28"/>
    </row>
    <row r="1528" spans="1:6" x14ac:dyDescent="0.2">
      <c r="A1528" s="27"/>
      <c r="B1528" s="27"/>
      <c r="C1528" s="27"/>
      <c r="D1528" s="35"/>
      <c r="E1528" s="28"/>
      <c r="F1528" s="28"/>
    </row>
    <row r="1529" spans="1:6" x14ac:dyDescent="0.2">
      <c r="A1529" s="27"/>
      <c r="B1529" s="27"/>
      <c r="C1529" s="27"/>
      <c r="D1529" s="35"/>
      <c r="E1529" s="28"/>
      <c r="F1529" s="28"/>
    </row>
    <row r="1530" spans="1:6" x14ac:dyDescent="0.2">
      <c r="A1530" s="27"/>
      <c r="B1530" s="27"/>
      <c r="C1530" s="27"/>
      <c r="D1530" s="35"/>
      <c r="E1530" s="28"/>
      <c r="F1530" s="28"/>
    </row>
    <row r="1531" spans="1:6" x14ac:dyDescent="0.2">
      <c r="A1531" s="27"/>
      <c r="B1531" s="27"/>
      <c r="C1531" s="27"/>
      <c r="D1531" s="35"/>
      <c r="E1531" s="28"/>
      <c r="F1531" s="28"/>
    </row>
    <row r="1532" spans="1:6" x14ac:dyDescent="0.2">
      <c r="A1532" s="27"/>
      <c r="B1532" s="27"/>
      <c r="C1532" s="27"/>
      <c r="D1532" s="35"/>
      <c r="E1532" s="28"/>
      <c r="F1532" s="28"/>
    </row>
    <row r="1533" spans="1:6" x14ac:dyDescent="0.2">
      <c r="A1533" s="27"/>
      <c r="B1533" s="27"/>
      <c r="C1533" s="27"/>
      <c r="D1533" s="35"/>
      <c r="E1533" s="28"/>
      <c r="F1533" s="28"/>
    </row>
    <row r="1534" spans="1:6" x14ac:dyDescent="0.2">
      <c r="A1534" s="27"/>
      <c r="B1534" s="27"/>
      <c r="C1534" s="27"/>
      <c r="D1534" s="35"/>
      <c r="E1534" s="28"/>
      <c r="F1534" s="28"/>
    </row>
    <row r="1535" spans="1:6" x14ac:dyDescent="0.2">
      <c r="A1535" s="27"/>
      <c r="B1535" s="27"/>
      <c r="C1535" s="27"/>
      <c r="D1535" s="35"/>
      <c r="E1535" s="28"/>
      <c r="F1535" s="28"/>
    </row>
    <row r="1536" spans="1:6" x14ac:dyDescent="0.2">
      <c r="A1536" s="27"/>
      <c r="B1536" s="27"/>
      <c r="C1536" s="27"/>
      <c r="D1536" s="35"/>
      <c r="E1536" s="28"/>
      <c r="F1536" s="28"/>
    </row>
    <row r="1537" spans="1:6" x14ac:dyDescent="0.2">
      <c r="A1537" s="27"/>
      <c r="B1537" s="27"/>
      <c r="C1537" s="27"/>
      <c r="D1537" s="35"/>
      <c r="E1537" s="28"/>
      <c r="F1537" s="28"/>
    </row>
    <row r="1538" spans="1:6" x14ac:dyDescent="0.2">
      <c r="A1538" s="27"/>
      <c r="B1538" s="27"/>
      <c r="C1538" s="27"/>
      <c r="D1538" s="35"/>
      <c r="E1538" s="28"/>
      <c r="F1538" s="28"/>
    </row>
    <row r="1539" spans="1:6" x14ac:dyDescent="0.2">
      <c r="A1539" s="27"/>
      <c r="B1539" s="27"/>
      <c r="C1539" s="27"/>
      <c r="D1539" s="35"/>
      <c r="E1539" s="28"/>
      <c r="F1539" s="28"/>
    </row>
    <row r="1540" spans="1:6" x14ac:dyDescent="0.2">
      <c r="A1540" s="27"/>
      <c r="B1540" s="27"/>
      <c r="C1540" s="27"/>
      <c r="D1540" s="35"/>
      <c r="E1540" s="28"/>
      <c r="F1540" s="28"/>
    </row>
    <row r="1541" spans="1:6" x14ac:dyDescent="0.2">
      <c r="A1541" s="27"/>
      <c r="B1541" s="27"/>
      <c r="C1541" s="27"/>
      <c r="D1541" s="35"/>
      <c r="E1541" s="28"/>
      <c r="F1541" s="28"/>
    </row>
    <row r="1542" spans="1:6" x14ac:dyDescent="0.2">
      <c r="A1542" s="27"/>
      <c r="B1542" s="27"/>
      <c r="C1542" s="27"/>
      <c r="D1542" s="35"/>
      <c r="E1542" s="28"/>
      <c r="F1542" s="28"/>
    </row>
    <row r="1543" spans="1:6" x14ac:dyDescent="0.2">
      <c r="A1543" s="27"/>
      <c r="B1543" s="27"/>
      <c r="C1543" s="27"/>
      <c r="D1543" s="35"/>
      <c r="E1543" s="28"/>
      <c r="F1543" s="28"/>
    </row>
    <row r="1544" spans="1:6" x14ac:dyDescent="0.2">
      <c r="A1544" s="27"/>
      <c r="B1544" s="27"/>
      <c r="C1544" s="27"/>
      <c r="D1544" s="35"/>
      <c r="E1544" s="28"/>
      <c r="F1544" s="28"/>
    </row>
    <row r="1545" spans="1:6" x14ac:dyDescent="0.2">
      <c r="A1545" s="27"/>
      <c r="B1545" s="27"/>
      <c r="C1545" s="27"/>
      <c r="D1545" s="35"/>
      <c r="E1545" s="28"/>
      <c r="F1545" s="28"/>
    </row>
    <row r="1546" spans="1:6" x14ac:dyDescent="0.2">
      <c r="A1546" s="27"/>
      <c r="B1546" s="27"/>
      <c r="C1546" s="27"/>
      <c r="D1546" s="35"/>
      <c r="E1546" s="28"/>
      <c r="F1546" s="28"/>
    </row>
    <row r="1547" spans="1:6" x14ac:dyDescent="0.2">
      <c r="A1547" s="27"/>
      <c r="B1547" s="27"/>
      <c r="C1547" s="27"/>
      <c r="D1547" s="35"/>
      <c r="E1547" s="28"/>
      <c r="F1547" s="28"/>
    </row>
    <row r="1548" spans="1:6" x14ac:dyDescent="0.2">
      <c r="A1548" s="27"/>
      <c r="B1548" s="27"/>
      <c r="C1548" s="27"/>
      <c r="D1548" s="35"/>
      <c r="E1548" s="28"/>
      <c r="F1548" s="28"/>
    </row>
    <row r="1549" spans="1:6" x14ac:dyDescent="0.2">
      <c r="A1549" s="27"/>
      <c r="B1549" s="27"/>
      <c r="C1549" s="27"/>
      <c r="D1549" s="35"/>
      <c r="E1549" s="28"/>
      <c r="F1549" s="28"/>
    </row>
    <row r="1550" spans="1:6" x14ac:dyDescent="0.2">
      <c r="A1550" s="27"/>
      <c r="B1550" s="27"/>
      <c r="C1550" s="27"/>
      <c r="D1550" s="35"/>
      <c r="E1550" s="28"/>
      <c r="F1550" s="28"/>
    </row>
    <row r="1551" spans="1:6" x14ac:dyDescent="0.2">
      <c r="A1551" s="27"/>
      <c r="B1551" s="27"/>
      <c r="C1551" s="27"/>
      <c r="D1551" s="35"/>
      <c r="E1551" s="28"/>
      <c r="F1551" s="28"/>
    </row>
    <row r="1552" spans="1:6" x14ac:dyDescent="0.2">
      <c r="A1552" s="27"/>
      <c r="B1552" s="27"/>
      <c r="C1552" s="27"/>
      <c r="D1552" s="35"/>
      <c r="E1552" s="28"/>
      <c r="F1552" s="28"/>
    </row>
    <row r="1553" spans="1:6" x14ac:dyDescent="0.2">
      <c r="A1553" s="27"/>
      <c r="B1553" s="27"/>
      <c r="C1553" s="27"/>
      <c r="D1553" s="35"/>
      <c r="E1553" s="28"/>
      <c r="F1553" s="28"/>
    </row>
    <row r="1554" spans="1:6" x14ac:dyDescent="0.2">
      <c r="A1554" s="27"/>
      <c r="B1554" s="27"/>
      <c r="C1554" s="27"/>
      <c r="D1554" s="35"/>
      <c r="E1554" s="28"/>
      <c r="F1554" s="28"/>
    </row>
    <row r="1555" spans="1:6" x14ac:dyDescent="0.2">
      <c r="A1555" s="27"/>
      <c r="B1555" s="27"/>
      <c r="C1555" s="27"/>
      <c r="D1555" s="35"/>
      <c r="E1555" s="28"/>
      <c r="F1555" s="28"/>
    </row>
    <row r="1556" spans="1:6" x14ac:dyDescent="0.2">
      <c r="A1556" s="27"/>
      <c r="B1556" s="27"/>
      <c r="C1556" s="27"/>
      <c r="D1556" s="35"/>
      <c r="E1556" s="28"/>
      <c r="F1556" s="28"/>
    </row>
    <row r="1557" spans="1:6" x14ac:dyDescent="0.2">
      <c r="A1557" s="27"/>
      <c r="B1557" s="27"/>
      <c r="C1557" s="27"/>
      <c r="D1557" s="35"/>
      <c r="E1557" s="28"/>
      <c r="F1557" s="28"/>
    </row>
    <row r="1558" spans="1:6" x14ac:dyDescent="0.2">
      <c r="A1558" s="27"/>
      <c r="B1558" s="27"/>
      <c r="C1558" s="27"/>
      <c r="D1558" s="35"/>
      <c r="E1558" s="28"/>
      <c r="F1558" s="28"/>
    </row>
    <row r="1559" spans="1:6" x14ac:dyDescent="0.2">
      <c r="A1559" s="27"/>
      <c r="B1559" s="27"/>
      <c r="C1559" s="27"/>
      <c r="D1559" s="35"/>
      <c r="E1559" s="28"/>
      <c r="F1559" s="28"/>
    </row>
    <row r="1560" spans="1:6" x14ac:dyDescent="0.2">
      <c r="A1560" s="27"/>
      <c r="B1560" s="27"/>
      <c r="C1560" s="27"/>
      <c r="D1560" s="35"/>
      <c r="E1560" s="28"/>
      <c r="F1560" s="28"/>
    </row>
    <row r="1561" spans="1:6" x14ac:dyDescent="0.2">
      <c r="A1561" s="27"/>
      <c r="B1561" s="27"/>
      <c r="C1561" s="27"/>
      <c r="D1561" s="35"/>
      <c r="E1561" s="28"/>
      <c r="F1561" s="28"/>
    </row>
    <row r="1562" spans="1:6" x14ac:dyDescent="0.2">
      <c r="A1562" s="27"/>
      <c r="B1562" s="27"/>
      <c r="C1562" s="27"/>
      <c r="D1562" s="35"/>
      <c r="E1562" s="28"/>
      <c r="F1562" s="28"/>
    </row>
    <row r="1563" spans="1:6" x14ac:dyDescent="0.2">
      <c r="A1563" s="27"/>
      <c r="B1563" s="27"/>
      <c r="C1563" s="27"/>
      <c r="D1563" s="35"/>
      <c r="E1563" s="28"/>
      <c r="F1563" s="28"/>
    </row>
    <row r="1564" spans="1:6" x14ac:dyDescent="0.2">
      <c r="A1564" s="27"/>
      <c r="B1564" s="27"/>
      <c r="C1564" s="27"/>
      <c r="D1564" s="35"/>
      <c r="E1564" s="28"/>
      <c r="F1564" s="28"/>
    </row>
    <row r="1565" spans="1:6" x14ac:dyDescent="0.2">
      <c r="A1565" s="27"/>
      <c r="B1565" s="27"/>
      <c r="C1565" s="27"/>
      <c r="D1565" s="35"/>
      <c r="E1565" s="28"/>
      <c r="F1565" s="28"/>
    </row>
    <row r="1566" spans="1:6" x14ac:dyDescent="0.2">
      <c r="A1566" s="27"/>
      <c r="B1566" s="27"/>
      <c r="C1566" s="27"/>
      <c r="D1566" s="35"/>
      <c r="E1566" s="28"/>
      <c r="F1566" s="28"/>
    </row>
    <row r="1567" spans="1:6" x14ac:dyDescent="0.2">
      <c r="A1567" s="27"/>
      <c r="B1567" s="27"/>
      <c r="C1567" s="27"/>
      <c r="D1567" s="35"/>
      <c r="E1567" s="28"/>
      <c r="F1567" s="28"/>
    </row>
    <row r="1568" spans="1:6" x14ac:dyDescent="0.2">
      <c r="A1568" s="27"/>
      <c r="B1568" s="27"/>
      <c r="C1568" s="27"/>
      <c r="D1568" s="35"/>
      <c r="E1568" s="28"/>
      <c r="F1568" s="28"/>
    </row>
    <row r="1569" spans="1:6" x14ac:dyDescent="0.2">
      <c r="A1569" s="27"/>
      <c r="B1569" s="27"/>
      <c r="C1569" s="27"/>
      <c r="D1569" s="35"/>
      <c r="E1569" s="28"/>
      <c r="F1569" s="28"/>
    </row>
    <row r="1570" spans="1:6" x14ac:dyDescent="0.2">
      <c r="A1570" s="27"/>
      <c r="B1570" s="27"/>
      <c r="C1570" s="27"/>
      <c r="D1570" s="35"/>
      <c r="E1570" s="28"/>
      <c r="F1570" s="28"/>
    </row>
    <row r="1571" spans="1:6" x14ac:dyDescent="0.2">
      <c r="A1571" s="27"/>
      <c r="B1571" s="27"/>
      <c r="C1571" s="27"/>
      <c r="D1571" s="35"/>
      <c r="E1571" s="28"/>
      <c r="F1571" s="28"/>
    </row>
    <row r="1572" spans="1:6" x14ac:dyDescent="0.2">
      <c r="A1572" s="27"/>
      <c r="B1572" s="27"/>
      <c r="C1572" s="27"/>
      <c r="D1572" s="35"/>
      <c r="E1572" s="28"/>
      <c r="F1572" s="28"/>
    </row>
    <row r="1573" spans="1:6" x14ac:dyDescent="0.2">
      <c r="A1573" s="27"/>
      <c r="B1573" s="27"/>
      <c r="C1573" s="27"/>
      <c r="D1573" s="35"/>
      <c r="E1573" s="28"/>
      <c r="F1573" s="28"/>
    </row>
    <row r="1574" spans="1:6" x14ac:dyDescent="0.2">
      <c r="A1574" s="27"/>
      <c r="B1574" s="27"/>
      <c r="C1574" s="27"/>
      <c r="D1574" s="35"/>
      <c r="E1574" s="28"/>
      <c r="F1574" s="28"/>
    </row>
    <row r="1575" spans="1:6" x14ac:dyDescent="0.2">
      <c r="A1575" s="27"/>
      <c r="B1575" s="27"/>
      <c r="C1575" s="27"/>
      <c r="D1575" s="35"/>
      <c r="E1575" s="28"/>
      <c r="F1575" s="28"/>
    </row>
    <row r="1576" spans="1:6" x14ac:dyDescent="0.2">
      <c r="A1576" s="27"/>
      <c r="B1576" s="27"/>
      <c r="C1576" s="27"/>
      <c r="D1576" s="35"/>
      <c r="E1576" s="28"/>
      <c r="F1576" s="28"/>
    </row>
    <row r="1577" spans="1:6" x14ac:dyDescent="0.2">
      <c r="A1577" s="27"/>
      <c r="B1577" s="27"/>
      <c r="C1577" s="27"/>
      <c r="D1577" s="35"/>
      <c r="E1577" s="28"/>
      <c r="F1577" s="28"/>
    </row>
    <row r="1578" spans="1:6" x14ac:dyDescent="0.2">
      <c r="A1578" s="27"/>
      <c r="B1578" s="27"/>
      <c r="C1578" s="27"/>
      <c r="D1578" s="35"/>
      <c r="E1578" s="28"/>
      <c r="F1578" s="28"/>
    </row>
    <row r="1579" spans="1:6" x14ac:dyDescent="0.2">
      <c r="A1579" s="27"/>
      <c r="B1579" s="27"/>
      <c r="C1579" s="27"/>
      <c r="D1579" s="35"/>
      <c r="E1579" s="28"/>
      <c r="F1579" s="28"/>
    </row>
    <row r="1580" spans="1:6" x14ac:dyDescent="0.2">
      <c r="A1580" s="27"/>
      <c r="B1580" s="27"/>
      <c r="C1580" s="27"/>
      <c r="D1580" s="35"/>
      <c r="E1580" s="28"/>
      <c r="F1580" s="28"/>
    </row>
    <row r="1581" spans="1:6" x14ac:dyDescent="0.2">
      <c r="A1581" s="27"/>
      <c r="B1581" s="27"/>
      <c r="C1581" s="27"/>
      <c r="D1581" s="35"/>
      <c r="E1581" s="28"/>
      <c r="F1581" s="28"/>
    </row>
    <row r="1582" spans="1:6" x14ac:dyDescent="0.2">
      <c r="A1582" s="27"/>
      <c r="B1582" s="27"/>
      <c r="C1582" s="27"/>
      <c r="D1582" s="35"/>
      <c r="E1582" s="28"/>
      <c r="F1582" s="28"/>
    </row>
    <row r="1583" spans="1:6" x14ac:dyDescent="0.2">
      <c r="A1583" s="27"/>
      <c r="B1583" s="27"/>
      <c r="C1583" s="27"/>
      <c r="D1583" s="35"/>
      <c r="E1583" s="28"/>
      <c r="F1583" s="28"/>
    </row>
    <row r="1584" spans="1:6" x14ac:dyDescent="0.2">
      <c r="A1584" s="27"/>
      <c r="B1584" s="27"/>
      <c r="C1584" s="27"/>
      <c r="D1584" s="35"/>
      <c r="E1584" s="28"/>
      <c r="F1584" s="28"/>
    </row>
    <row r="1585" spans="1:6" x14ac:dyDescent="0.2">
      <c r="A1585" s="27"/>
      <c r="B1585" s="27"/>
      <c r="C1585" s="27"/>
      <c r="D1585" s="35"/>
      <c r="E1585" s="28"/>
      <c r="F1585" s="28"/>
    </row>
    <row r="1586" spans="1:6" x14ac:dyDescent="0.2">
      <c r="A1586" s="27"/>
      <c r="B1586" s="27"/>
      <c r="C1586" s="27"/>
      <c r="D1586" s="35"/>
      <c r="E1586" s="28"/>
      <c r="F1586" s="28"/>
    </row>
    <row r="1587" spans="1:6" x14ac:dyDescent="0.2">
      <c r="A1587" s="27"/>
      <c r="B1587" s="27"/>
      <c r="C1587" s="27"/>
      <c r="D1587" s="35"/>
      <c r="E1587" s="28"/>
      <c r="F1587" s="28"/>
    </row>
    <row r="1588" spans="1:6" x14ac:dyDescent="0.2">
      <c r="A1588" s="27"/>
      <c r="B1588" s="27"/>
      <c r="C1588" s="27"/>
      <c r="D1588" s="35"/>
      <c r="E1588" s="28"/>
      <c r="F1588" s="28"/>
    </row>
    <row r="1589" spans="1:6" x14ac:dyDescent="0.2">
      <c r="A1589" s="27"/>
      <c r="B1589" s="27"/>
      <c r="C1589" s="27"/>
      <c r="D1589" s="35"/>
      <c r="E1589" s="28"/>
      <c r="F1589" s="28"/>
    </row>
    <row r="1590" spans="1:6" x14ac:dyDescent="0.2">
      <c r="A1590" s="27"/>
      <c r="B1590" s="27"/>
      <c r="C1590" s="27"/>
      <c r="D1590" s="35"/>
      <c r="E1590" s="28"/>
      <c r="F1590" s="28"/>
    </row>
    <row r="1591" spans="1:6" x14ac:dyDescent="0.2">
      <c r="A1591" s="27"/>
      <c r="B1591" s="27"/>
      <c r="C1591" s="27"/>
      <c r="D1591" s="35"/>
      <c r="E1591" s="28"/>
      <c r="F1591" s="28"/>
    </row>
    <row r="1592" spans="1:6" x14ac:dyDescent="0.2">
      <c r="A1592" s="27"/>
      <c r="B1592" s="27"/>
      <c r="C1592" s="27"/>
      <c r="D1592" s="35"/>
      <c r="E1592" s="28"/>
      <c r="F1592" s="28"/>
    </row>
    <row r="1593" spans="1:6" x14ac:dyDescent="0.2">
      <c r="A1593" s="27"/>
      <c r="B1593" s="27"/>
      <c r="C1593" s="27"/>
      <c r="D1593" s="35"/>
      <c r="E1593" s="28"/>
      <c r="F1593" s="28"/>
    </row>
    <row r="1594" spans="1:6" x14ac:dyDescent="0.2">
      <c r="A1594" s="27"/>
      <c r="B1594" s="27"/>
      <c r="C1594" s="27"/>
      <c r="D1594" s="35"/>
      <c r="E1594" s="28"/>
      <c r="F1594" s="28"/>
    </row>
    <row r="1595" spans="1:6" x14ac:dyDescent="0.2">
      <c r="A1595" s="27"/>
      <c r="B1595" s="27"/>
      <c r="C1595" s="27"/>
      <c r="D1595" s="35"/>
      <c r="E1595" s="28"/>
      <c r="F1595" s="28"/>
    </row>
    <row r="1596" spans="1:6" x14ac:dyDescent="0.2">
      <c r="A1596" s="27"/>
      <c r="B1596" s="27"/>
      <c r="C1596" s="27"/>
      <c r="D1596" s="35"/>
      <c r="E1596" s="28"/>
      <c r="F1596" s="28"/>
    </row>
    <row r="1597" spans="1:6" x14ac:dyDescent="0.2">
      <c r="A1597" s="27"/>
      <c r="B1597" s="27"/>
      <c r="C1597" s="27"/>
      <c r="D1597" s="35"/>
      <c r="E1597" s="28"/>
      <c r="F1597" s="28"/>
    </row>
    <row r="1598" spans="1:6" x14ac:dyDescent="0.2">
      <c r="A1598" s="27"/>
      <c r="B1598" s="27"/>
      <c r="C1598" s="27"/>
      <c r="D1598" s="35"/>
      <c r="E1598" s="28"/>
      <c r="F1598" s="28"/>
    </row>
    <row r="1599" spans="1:6" x14ac:dyDescent="0.2">
      <c r="A1599" s="27"/>
      <c r="B1599" s="27"/>
      <c r="C1599" s="27"/>
      <c r="D1599" s="35"/>
      <c r="E1599" s="28"/>
      <c r="F1599" s="28"/>
    </row>
    <row r="1600" spans="1:6" x14ac:dyDescent="0.2">
      <c r="A1600" s="27"/>
      <c r="B1600" s="27"/>
      <c r="C1600" s="27"/>
      <c r="D1600" s="35"/>
      <c r="E1600" s="28"/>
      <c r="F1600" s="28"/>
    </row>
    <row r="1601" spans="1:6" x14ac:dyDescent="0.2">
      <c r="A1601" s="27"/>
      <c r="B1601" s="27"/>
      <c r="C1601" s="27"/>
      <c r="D1601" s="35"/>
      <c r="E1601" s="28"/>
      <c r="F1601" s="28"/>
    </row>
    <row r="1602" spans="1:6" x14ac:dyDescent="0.2">
      <c r="A1602" s="27"/>
      <c r="B1602" s="27"/>
      <c r="C1602" s="27"/>
      <c r="D1602" s="35"/>
      <c r="E1602" s="28"/>
      <c r="F1602" s="28"/>
    </row>
    <row r="1603" spans="1:6" x14ac:dyDescent="0.2">
      <c r="A1603" s="27"/>
      <c r="B1603" s="27"/>
      <c r="C1603" s="27"/>
      <c r="D1603" s="35"/>
      <c r="E1603" s="28"/>
      <c r="F1603" s="28"/>
    </row>
    <row r="1604" spans="1:6" x14ac:dyDescent="0.2">
      <c r="A1604" s="27"/>
      <c r="B1604" s="27"/>
      <c r="C1604" s="27"/>
      <c r="D1604" s="35"/>
      <c r="E1604" s="28"/>
      <c r="F1604" s="28"/>
    </row>
    <row r="1605" spans="1:6" x14ac:dyDescent="0.2">
      <c r="A1605" s="27"/>
      <c r="B1605" s="27"/>
      <c r="C1605" s="27"/>
      <c r="D1605" s="35"/>
      <c r="E1605" s="28"/>
      <c r="F1605" s="28"/>
    </row>
    <row r="1606" spans="1:6" x14ac:dyDescent="0.2">
      <c r="A1606" s="27"/>
      <c r="B1606" s="27"/>
      <c r="C1606" s="27"/>
      <c r="D1606" s="35"/>
      <c r="E1606" s="28"/>
      <c r="F1606" s="28"/>
    </row>
    <row r="1607" spans="1:6" x14ac:dyDescent="0.2">
      <c r="A1607" s="27"/>
      <c r="B1607" s="27"/>
      <c r="C1607" s="27"/>
      <c r="D1607" s="35"/>
      <c r="E1607" s="28"/>
      <c r="F1607" s="28"/>
    </row>
    <row r="1608" spans="1:6" x14ac:dyDescent="0.2">
      <c r="A1608" s="27"/>
      <c r="B1608" s="27"/>
      <c r="C1608" s="27"/>
      <c r="D1608" s="35"/>
      <c r="E1608" s="28"/>
      <c r="F1608" s="28"/>
    </row>
    <row r="1609" spans="1:6" x14ac:dyDescent="0.2">
      <c r="A1609" s="27"/>
      <c r="B1609" s="27"/>
      <c r="C1609" s="27"/>
      <c r="D1609" s="35"/>
      <c r="E1609" s="28"/>
      <c r="F1609" s="28"/>
    </row>
    <row r="1610" spans="1:6" x14ac:dyDescent="0.2">
      <c r="A1610" s="27"/>
      <c r="B1610" s="27"/>
      <c r="C1610" s="27"/>
      <c r="D1610" s="35"/>
      <c r="E1610" s="28"/>
      <c r="F1610" s="28"/>
    </row>
    <row r="1611" spans="1:6" x14ac:dyDescent="0.2">
      <c r="A1611" s="27"/>
      <c r="B1611" s="27"/>
      <c r="C1611" s="27"/>
      <c r="D1611" s="35"/>
      <c r="E1611" s="28"/>
      <c r="F1611" s="28"/>
    </row>
    <row r="1612" spans="1:6" x14ac:dyDescent="0.2">
      <c r="A1612" s="27"/>
      <c r="B1612" s="27"/>
      <c r="C1612" s="27"/>
      <c r="D1612" s="35"/>
      <c r="E1612" s="28"/>
      <c r="F1612" s="28"/>
    </row>
    <row r="1613" spans="1:6" x14ac:dyDescent="0.2">
      <c r="A1613" s="27"/>
      <c r="B1613" s="27"/>
      <c r="C1613" s="27"/>
      <c r="D1613" s="35"/>
      <c r="E1613" s="28"/>
      <c r="F1613" s="28"/>
    </row>
    <row r="1614" spans="1:6" x14ac:dyDescent="0.2">
      <c r="A1614" s="27"/>
      <c r="B1614" s="27"/>
      <c r="C1614" s="27"/>
      <c r="D1614" s="35"/>
      <c r="E1614" s="28"/>
      <c r="F1614" s="28"/>
    </row>
    <row r="1615" spans="1:6" x14ac:dyDescent="0.2">
      <c r="A1615" s="27"/>
      <c r="B1615" s="27"/>
      <c r="C1615" s="27"/>
      <c r="D1615" s="35"/>
      <c r="E1615" s="28"/>
      <c r="F1615" s="28"/>
    </row>
    <row r="1616" spans="1:6" x14ac:dyDescent="0.2">
      <c r="A1616" s="27"/>
      <c r="B1616" s="27"/>
      <c r="C1616" s="27"/>
      <c r="D1616" s="35"/>
      <c r="E1616" s="28"/>
      <c r="F1616" s="28"/>
    </row>
    <row r="1617" spans="1:6" x14ac:dyDescent="0.2">
      <c r="A1617" s="27"/>
      <c r="B1617" s="27"/>
      <c r="C1617" s="27"/>
      <c r="D1617" s="35"/>
      <c r="E1617" s="28"/>
      <c r="F1617" s="28"/>
    </row>
    <row r="1618" spans="1:6" x14ac:dyDescent="0.2">
      <c r="A1618" s="27"/>
      <c r="B1618" s="27"/>
      <c r="C1618" s="27"/>
      <c r="D1618" s="35"/>
      <c r="E1618" s="28"/>
      <c r="F1618" s="28"/>
    </row>
    <row r="1619" spans="1:6" x14ac:dyDescent="0.2">
      <c r="A1619" s="27"/>
      <c r="B1619" s="27"/>
      <c r="C1619" s="27"/>
      <c r="D1619" s="35"/>
      <c r="E1619" s="28"/>
      <c r="F1619" s="28"/>
    </row>
    <row r="1620" spans="1:6" x14ac:dyDescent="0.2">
      <c r="A1620" s="27"/>
      <c r="B1620" s="27"/>
      <c r="C1620" s="27"/>
      <c r="D1620" s="35"/>
      <c r="E1620" s="28"/>
      <c r="F1620" s="28"/>
    </row>
    <row r="1621" spans="1:6" x14ac:dyDescent="0.2">
      <c r="A1621" s="27"/>
      <c r="B1621" s="27"/>
      <c r="C1621" s="27"/>
      <c r="D1621" s="35"/>
      <c r="E1621" s="28"/>
      <c r="F1621" s="28"/>
    </row>
    <row r="1622" spans="1:6" x14ac:dyDescent="0.2">
      <c r="A1622" s="27"/>
      <c r="B1622" s="27"/>
      <c r="C1622" s="27"/>
      <c r="D1622" s="35"/>
      <c r="E1622" s="28"/>
      <c r="F1622" s="28"/>
    </row>
    <row r="1623" spans="1:6" x14ac:dyDescent="0.2">
      <c r="A1623" s="27"/>
      <c r="B1623" s="27"/>
      <c r="C1623" s="27"/>
      <c r="D1623" s="35"/>
      <c r="E1623" s="28"/>
      <c r="F1623" s="28"/>
    </row>
    <row r="1624" spans="1:6" x14ac:dyDescent="0.2">
      <c r="A1624" s="27"/>
      <c r="B1624" s="27"/>
      <c r="C1624" s="27"/>
      <c r="D1624" s="35"/>
      <c r="E1624" s="28"/>
      <c r="F1624" s="28"/>
    </row>
    <row r="1625" spans="1:6" x14ac:dyDescent="0.2">
      <c r="A1625" s="27"/>
      <c r="B1625" s="27"/>
      <c r="C1625" s="27"/>
      <c r="D1625" s="35"/>
      <c r="E1625" s="28"/>
      <c r="F1625" s="28"/>
    </row>
    <row r="1626" spans="1:6" x14ac:dyDescent="0.2">
      <c r="A1626" s="27"/>
      <c r="B1626" s="27"/>
      <c r="C1626" s="27"/>
      <c r="D1626" s="35"/>
      <c r="E1626" s="28"/>
      <c r="F1626" s="28"/>
    </row>
    <row r="1627" spans="1:6" x14ac:dyDescent="0.2">
      <c r="A1627" s="27"/>
      <c r="B1627" s="27"/>
      <c r="C1627" s="27"/>
      <c r="D1627" s="35"/>
      <c r="E1627" s="28"/>
      <c r="F1627" s="28"/>
    </row>
    <row r="1628" spans="1:6" x14ac:dyDescent="0.2">
      <c r="A1628" s="27"/>
      <c r="B1628" s="27"/>
      <c r="C1628" s="27"/>
      <c r="D1628" s="35"/>
      <c r="E1628" s="28"/>
      <c r="F1628" s="28"/>
    </row>
    <row r="1629" spans="1:6" x14ac:dyDescent="0.2">
      <c r="A1629" s="27"/>
      <c r="B1629" s="27"/>
      <c r="C1629" s="27"/>
      <c r="D1629" s="35"/>
      <c r="E1629" s="28"/>
      <c r="F1629" s="28"/>
    </row>
    <row r="1630" spans="1:6" x14ac:dyDescent="0.2">
      <c r="A1630" s="27"/>
      <c r="B1630" s="27"/>
      <c r="C1630" s="27"/>
      <c r="D1630" s="35"/>
      <c r="E1630" s="28"/>
      <c r="F1630" s="28"/>
    </row>
    <row r="1631" spans="1:6" x14ac:dyDescent="0.2">
      <c r="A1631" s="27"/>
      <c r="B1631" s="27"/>
      <c r="C1631" s="27"/>
      <c r="D1631" s="35"/>
      <c r="E1631" s="28"/>
      <c r="F1631" s="28"/>
    </row>
    <row r="1632" spans="1:6" x14ac:dyDescent="0.2">
      <c r="A1632" s="27"/>
      <c r="B1632" s="27"/>
      <c r="C1632" s="27"/>
      <c r="D1632" s="35"/>
      <c r="E1632" s="28"/>
      <c r="F1632" s="28"/>
    </row>
    <row r="1633" spans="1:6" x14ac:dyDescent="0.2">
      <c r="A1633" s="27"/>
      <c r="B1633" s="27"/>
      <c r="C1633" s="27"/>
      <c r="D1633" s="35"/>
      <c r="E1633" s="28"/>
      <c r="F1633" s="28"/>
    </row>
    <row r="1634" spans="1:6" x14ac:dyDescent="0.2">
      <c r="A1634" s="27"/>
      <c r="B1634" s="27"/>
      <c r="C1634" s="27"/>
      <c r="D1634" s="35"/>
      <c r="E1634" s="28"/>
      <c r="F1634" s="28"/>
    </row>
    <row r="1635" spans="1:6" x14ac:dyDescent="0.2">
      <c r="A1635" s="27"/>
      <c r="B1635" s="27"/>
      <c r="C1635" s="27"/>
      <c r="D1635" s="35"/>
      <c r="E1635" s="28"/>
      <c r="F1635" s="28"/>
    </row>
    <row r="1636" spans="1:6" x14ac:dyDescent="0.2">
      <c r="A1636" s="27"/>
      <c r="B1636" s="27"/>
      <c r="C1636" s="27"/>
      <c r="D1636" s="35"/>
      <c r="E1636" s="28"/>
      <c r="F1636" s="28"/>
    </row>
    <row r="1637" spans="1:6" x14ac:dyDescent="0.2">
      <c r="A1637" s="27"/>
      <c r="B1637" s="27"/>
      <c r="C1637" s="27"/>
      <c r="D1637" s="35"/>
      <c r="E1637" s="28"/>
      <c r="F1637" s="28"/>
    </row>
    <row r="1638" spans="1:6" x14ac:dyDescent="0.2">
      <c r="A1638" s="27"/>
      <c r="B1638" s="27"/>
      <c r="C1638" s="27"/>
      <c r="D1638" s="35"/>
      <c r="E1638" s="28"/>
      <c r="F1638" s="28"/>
    </row>
    <row r="1639" spans="1:6" x14ac:dyDescent="0.2">
      <c r="A1639" s="27"/>
      <c r="B1639" s="27"/>
      <c r="C1639" s="27"/>
      <c r="D1639" s="35"/>
      <c r="E1639" s="28"/>
      <c r="F1639" s="28"/>
    </row>
    <row r="1640" spans="1:6" x14ac:dyDescent="0.2">
      <c r="A1640" s="27"/>
      <c r="B1640" s="27"/>
      <c r="C1640" s="27"/>
      <c r="D1640" s="35"/>
      <c r="E1640" s="28"/>
      <c r="F1640" s="28"/>
    </row>
    <row r="1641" spans="1:6" x14ac:dyDescent="0.2">
      <c r="A1641" s="27"/>
      <c r="B1641" s="27"/>
      <c r="C1641" s="27"/>
      <c r="D1641" s="35"/>
      <c r="E1641" s="28"/>
      <c r="F1641" s="28"/>
    </row>
    <row r="1642" spans="1:6" x14ac:dyDescent="0.2">
      <c r="A1642" s="27"/>
      <c r="B1642" s="27"/>
      <c r="C1642" s="27"/>
      <c r="D1642" s="35"/>
      <c r="E1642" s="28"/>
      <c r="F1642" s="28"/>
    </row>
    <row r="1643" spans="1:6" x14ac:dyDescent="0.2">
      <c r="A1643" s="27"/>
      <c r="B1643" s="27"/>
      <c r="C1643" s="27"/>
      <c r="D1643" s="35"/>
      <c r="E1643" s="28"/>
      <c r="F1643" s="28"/>
    </row>
    <row r="1644" spans="1:6" x14ac:dyDescent="0.2">
      <c r="A1644" s="27"/>
      <c r="B1644" s="27"/>
      <c r="C1644" s="27"/>
      <c r="D1644" s="35"/>
      <c r="E1644" s="28"/>
      <c r="F1644" s="28"/>
    </row>
    <row r="1645" spans="1:6" x14ac:dyDescent="0.2">
      <c r="A1645" s="27"/>
      <c r="B1645" s="27"/>
      <c r="C1645" s="27"/>
      <c r="D1645" s="35"/>
      <c r="E1645" s="28"/>
      <c r="F1645" s="28"/>
    </row>
    <row r="1646" spans="1:6" x14ac:dyDescent="0.2">
      <c r="A1646" s="27"/>
      <c r="B1646" s="27"/>
      <c r="C1646" s="27"/>
      <c r="D1646" s="35"/>
      <c r="E1646" s="28"/>
      <c r="F1646" s="28"/>
    </row>
    <row r="1647" spans="1:6" x14ac:dyDescent="0.2">
      <c r="A1647" s="27"/>
      <c r="B1647" s="27"/>
      <c r="C1647" s="27"/>
      <c r="D1647" s="35"/>
      <c r="E1647" s="28"/>
      <c r="F1647" s="28"/>
    </row>
    <row r="1648" spans="1:6" x14ac:dyDescent="0.2">
      <c r="A1648" s="27"/>
      <c r="B1648" s="27"/>
      <c r="C1648" s="27"/>
      <c r="D1648" s="35"/>
      <c r="E1648" s="28"/>
      <c r="F1648" s="28"/>
    </row>
    <row r="1649" spans="1:6" x14ac:dyDescent="0.2">
      <c r="A1649" s="27"/>
      <c r="B1649" s="27"/>
      <c r="C1649" s="27"/>
      <c r="D1649" s="35"/>
      <c r="E1649" s="28"/>
      <c r="F1649" s="28"/>
    </row>
    <row r="1650" spans="1:6" x14ac:dyDescent="0.2">
      <c r="A1650" s="27"/>
      <c r="B1650" s="27"/>
      <c r="C1650" s="27"/>
      <c r="D1650" s="35"/>
      <c r="E1650" s="28"/>
      <c r="F1650" s="28"/>
    </row>
    <row r="1651" spans="1:6" x14ac:dyDescent="0.2">
      <c r="A1651" s="27"/>
      <c r="B1651" s="27"/>
      <c r="C1651" s="27"/>
      <c r="D1651" s="35"/>
      <c r="E1651" s="28"/>
      <c r="F1651" s="28"/>
    </row>
    <row r="1652" spans="1:6" x14ac:dyDescent="0.2">
      <c r="A1652" s="27"/>
      <c r="B1652" s="27"/>
      <c r="C1652" s="27"/>
      <c r="D1652" s="35"/>
      <c r="E1652" s="28"/>
      <c r="F1652" s="28"/>
    </row>
    <row r="1653" spans="1:6" x14ac:dyDescent="0.2">
      <c r="A1653" s="27"/>
      <c r="B1653" s="27"/>
      <c r="C1653" s="27"/>
      <c r="D1653" s="35"/>
      <c r="E1653" s="28"/>
      <c r="F1653" s="28"/>
    </row>
    <row r="1654" spans="1:6" x14ac:dyDescent="0.2">
      <c r="A1654" s="27"/>
      <c r="B1654" s="27"/>
      <c r="C1654" s="27"/>
      <c r="D1654" s="35"/>
      <c r="E1654" s="28"/>
      <c r="F1654" s="28"/>
    </row>
    <row r="1655" spans="1:6" x14ac:dyDescent="0.2">
      <c r="A1655" s="27"/>
      <c r="B1655" s="27"/>
      <c r="C1655" s="27"/>
      <c r="D1655" s="35"/>
      <c r="E1655" s="28"/>
      <c r="F1655" s="28"/>
    </row>
    <row r="1656" spans="1:6" x14ac:dyDescent="0.2">
      <c r="A1656" s="27"/>
      <c r="B1656" s="27"/>
      <c r="C1656" s="27"/>
      <c r="D1656" s="35"/>
      <c r="E1656" s="28"/>
      <c r="F1656" s="28"/>
    </row>
    <row r="1657" spans="1:6" x14ac:dyDescent="0.2">
      <c r="A1657" s="27"/>
      <c r="B1657" s="27"/>
      <c r="C1657" s="27"/>
      <c r="D1657" s="35"/>
      <c r="E1657" s="28"/>
      <c r="F1657" s="28"/>
    </row>
    <row r="1658" spans="1:6" x14ac:dyDescent="0.2">
      <c r="A1658" s="27"/>
      <c r="B1658" s="27"/>
      <c r="C1658" s="27"/>
      <c r="D1658" s="35"/>
      <c r="E1658" s="28"/>
      <c r="F1658" s="28"/>
    </row>
    <row r="1659" spans="1:6" x14ac:dyDescent="0.2">
      <c r="A1659" s="27"/>
      <c r="B1659" s="27"/>
      <c r="C1659" s="27"/>
      <c r="D1659" s="35"/>
      <c r="E1659" s="28"/>
      <c r="F1659" s="28"/>
    </row>
    <row r="1660" spans="1:6" x14ac:dyDescent="0.2">
      <c r="A1660" s="27"/>
      <c r="B1660" s="27"/>
      <c r="C1660" s="27"/>
      <c r="D1660" s="35"/>
      <c r="E1660" s="28"/>
      <c r="F1660" s="28"/>
    </row>
    <row r="1661" spans="1:6" x14ac:dyDescent="0.2">
      <c r="A1661" s="27"/>
      <c r="B1661" s="27"/>
      <c r="C1661" s="27"/>
      <c r="D1661" s="35"/>
      <c r="E1661" s="28"/>
      <c r="F1661" s="28"/>
    </row>
    <row r="1662" spans="1:6" x14ac:dyDescent="0.2">
      <c r="A1662" s="27"/>
      <c r="B1662" s="27"/>
      <c r="C1662" s="27"/>
      <c r="D1662" s="35"/>
      <c r="E1662" s="28"/>
      <c r="F1662" s="28"/>
    </row>
    <row r="1663" spans="1:6" x14ac:dyDescent="0.2">
      <c r="A1663" s="27"/>
      <c r="B1663" s="27"/>
      <c r="C1663" s="27"/>
      <c r="D1663" s="35"/>
      <c r="E1663" s="28"/>
      <c r="F1663" s="28"/>
    </row>
    <row r="1664" spans="1:6" x14ac:dyDescent="0.2">
      <c r="A1664" s="27"/>
      <c r="B1664" s="27"/>
      <c r="C1664" s="27"/>
      <c r="D1664" s="35"/>
      <c r="E1664" s="28"/>
      <c r="F1664" s="28"/>
    </row>
    <row r="1665" spans="1:6" x14ac:dyDescent="0.2">
      <c r="A1665" s="27"/>
      <c r="B1665" s="27"/>
      <c r="C1665" s="27"/>
      <c r="D1665" s="35"/>
      <c r="E1665" s="28"/>
      <c r="F1665" s="28"/>
    </row>
    <row r="1666" spans="1:6" x14ac:dyDescent="0.2">
      <c r="A1666" s="27"/>
      <c r="B1666" s="27"/>
      <c r="C1666" s="27"/>
      <c r="D1666" s="35"/>
      <c r="E1666" s="28"/>
      <c r="F1666" s="28"/>
    </row>
    <row r="1667" spans="1:6" x14ac:dyDescent="0.2">
      <c r="A1667" s="27"/>
      <c r="B1667" s="27"/>
      <c r="C1667" s="27"/>
      <c r="D1667" s="35"/>
      <c r="E1667" s="28"/>
      <c r="F1667" s="28"/>
    </row>
    <row r="1668" spans="1:6" x14ac:dyDescent="0.2">
      <c r="A1668" s="27"/>
      <c r="B1668" s="27"/>
      <c r="C1668" s="27"/>
      <c r="D1668" s="35"/>
      <c r="E1668" s="28"/>
      <c r="F1668" s="28"/>
    </row>
    <row r="1669" spans="1:6" x14ac:dyDescent="0.2">
      <c r="A1669" s="27"/>
      <c r="B1669" s="27"/>
      <c r="C1669" s="27"/>
      <c r="D1669" s="35"/>
      <c r="E1669" s="28"/>
      <c r="F1669" s="28"/>
    </row>
    <row r="1670" spans="1:6" x14ac:dyDescent="0.2">
      <c r="A1670" s="27"/>
      <c r="B1670" s="27"/>
      <c r="C1670" s="27"/>
      <c r="D1670" s="35"/>
      <c r="E1670" s="28"/>
      <c r="F1670" s="28"/>
    </row>
    <row r="1671" spans="1:6" x14ac:dyDescent="0.2">
      <c r="A1671" s="27"/>
      <c r="B1671" s="27"/>
      <c r="C1671" s="27"/>
      <c r="D1671" s="35"/>
      <c r="E1671" s="28"/>
      <c r="F1671" s="28"/>
    </row>
    <row r="1672" spans="1:6" x14ac:dyDescent="0.2">
      <c r="A1672" s="27"/>
      <c r="B1672" s="27"/>
      <c r="C1672" s="27"/>
      <c r="D1672" s="35"/>
      <c r="E1672" s="28"/>
      <c r="F1672" s="28"/>
    </row>
    <row r="1673" spans="1:6" x14ac:dyDescent="0.2">
      <c r="A1673" s="27"/>
      <c r="B1673" s="27"/>
      <c r="C1673" s="27"/>
      <c r="D1673" s="35"/>
      <c r="E1673" s="28"/>
      <c r="F1673" s="28"/>
    </row>
    <row r="1674" spans="1:6" x14ac:dyDescent="0.2">
      <c r="A1674" s="27"/>
      <c r="B1674" s="27"/>
      <c r="C1674" s="27"/>
      <c r="D1674" s="35"/>
      <c r="E1674" s="28"/>
      <c r="F1674" s="28"/>
    </row>
    <row r="1675" spans="1:6" x14ac:dyDescent="0.2">
      <c r="A1675" s="27"/>
      <c r="B1675" s="27"/>
      <c r="C1675" s="27"/>
      <c r="D1675" s="35"/>
      <c r="E1675" s="28"/>
      <c r="F1675" s="28"/>
    </row>
    <row r="1676" spans="1:6" x14ac:dyDescent="0.2">
      <c r="A1676" s="27"/>
      <c r="B1676" s="27"/>
      <c r="C1676" s="27"/>
      <c r="D1676" s="35"/>
      <c r="E1676" s="28"/>
      <c r="F1676" s="28"/>
    </row>
    <row r="1677" spans="1:6" x14ac:dyDescent="0.2">
      <c r="A1677" s="27"/>
      <c r="B1677" s="27"/>
      <c r="C1677" s="27"/>
      <c r="D1677" s="35"/>
      <c r="E1677" s="28"/>
      <c r="F1677" s="28"/>
    </row>
    <row r="1678" spans="1:6" x14ac:dyDescent="0.2">
      <c r="A1678" s="27"/>
      <c r="B1678" s="27"/>
      <c r="C1678" s="27"/>
      <c r="D1678" s="35"/>
      <c r="E1678" s="28"/>
      <c r="F1678" s="28"/>
    </row>
    <row r="1679" spans="1:6" x14ac:dyDescent="0.2">
      <c r="A1679" s="27"/>
      <c r="B1679" s="27"/>
      <c r="C1679" s="27"/>
      <c r="D1679" s="35"/>
      <c r="E1679" s="28"/>
      <c r="F1679" s="28"/>
    </row>
    <row r="1680" spans="1:6" x14ac:dyDescent="0.2">
      <c r="A1680" s="27"/>
      <c r="B1680" s="27"/>
      <c r="C1680" s="27"/>
      <c r="D1680" s="35"/>
      <c r="E1680" s="28"/>
      <c r="F1680" s="28"/>
    </row>
    <row r="1681" spans="1:6" x14ac:dyDescent="0.2">
      <c r="A1681" s="27"/>
      <c r="B1681" s="27"/>
      <c r="C1681" s="27"/>
      <c r="D1681" s="35"/>
      <c r="E1681" s="28"/>
      <c r="F1681" s="28"/>
    </row>
    <row r="1682" spans="1:6" x14ac:dyDescent="0.2">
      <c r="A1682" s="27"/>
      <c r="B1682" s="27"/>
      <c r="C1682" s="27"/>
      <c r="D1682" s="35"/>
      <c r="E1682" s="28"/>
      <c r="F1682" s="28"/>
    </row>
    <row r="1683" spans="1:6" x14ac:dyDescent="0.2">
      <c r="A1683" s="27"/>
      <c r="B1683" s="27"/>
      <c r="C1683" s="27"/>
      <c r="D1683" s="35"/>
      <c r="E1683" s="28"/>
      <c r="F1683" s="28"/>
    </row>
    <row r="1684" spans="1:6" x14ac:dyDescent="0.2">
      <c r="A1684" s="27"/>
      <c r="B1684" s="27"/>
      <c r="C1684" s="27"/>
      <c r="D1684" s="35"/>
      <c r="E1684" s="28"/>
      <c r="F1684" s="28"/>
    </row>
    <row r="1685" spans="1:6" x14ac:dyDescent="0.2">
      <c r="A1685" s="27"/>
      <c r="B1685" s="27"/>
      <c r="C1685" s="27"/>
      <c r="D1685" s="35"/>
      <c r="E1685" s="28"/>
      <c r="F1685" s="28"/>
    </row>
    <row r="1686" spans="1:6" x14ac:dyDescent="0.2">
      <c r="A1686" s="27"/>
      <c r="B1686" s="27"/>
      <c r="C1686" s="27"/>
      <c r="D1686" s="35"/>
      <c r="E1686" s="28"/>
      <c r="F1686" s="28"/>
    </row>
    <row r="1687" spans="1:6" x14ac:dyDescent="0.2">
      <c r="A1687" s="27"/>
      <c r="B1687" s="27"/>
      <c r="C1687" s="27"/>
      <c r="D1687" s="35"/>
      <c r="E1687" s="28"/>
      <c r="F1687" s="28"/>
    </row>
    <row r="1688" spans="1:6" x14ac:dyDescent="0.2">
      <c r="A1688" s="27"/>
      <c r="B1688" s="27"/>
      <c r="C1688" s="27"/>
      <c r="D1688" s="35"/>
      <c r="E1688" s="28"/>
      <c r="F1688" s="28"/>
    </row>
    <row r="1689" spans="1:6" x14ac:dyDescent="0.2">
      <c r="A1689" s="27"/>
      <c r="B1689" s="27"/>
      <c r="C1689" s="27"/>
      <c r="D1689" s="35"/>
      <c r="E1689" s="28"/>
      <c r="F1689" s="28"/>
    </row>
    <row r="1690" spans="1:6" x14ac:dyDescent="0.2">
      <c r="A1690" s="27"/>
      <c r="B1690" s="27"/>
      <c r="C1690" s="27"/>
      <c r="D1690" s="35"/>
      <c r="E1690" s="28"/>
      <c r="F1690" s="28"/>
    </row>
    <row r="1691" spans="1:6" x14ac:dyDescent="0.2">
      <c r="A1691" s="27"/>
      <c r="B1691" s="27"/>
      <c r="C1691" s="27"/>
      <c r="D1691" s="35"/>
      <c r="E1691" s="28"/>
      <c r="F1691" s="28"/>
    </row>
    <row r="1692" spans="1:6" x14ac:dyDescent="0.2">
      <c r="A1692" s="27"/>
      <c r="B1692" s="27"/>
      <c r="C1692" s="27"/>
      <c r="D1692" s="35"/>
      <c r="E1692" s="28"/>
      <c r="F1692" s="28"/>
    </row>
    <row r="1693" spans="1:6" x14ac:dyDescent="0.2">
      <c r="A1693" s="27"/>
      <c r="B1693" s="27"/>
      <c r="C1693" s="27"/>
      <c r="D1693" s="35"/>
      <c r="E1693" s="28"/>
      <c r="F1693" s="28"/>
    </row>
    <row r="1694" spans="1:6" x14ac:dyDescent="0.2">
      <c r="A1694" s="27"/>
      <c r="B1694" s="27"/>
      <c r="C1694" s="27"/>
      <c r="D1694" s="35"/>
      <c r="E1694" s="28"/>
      <c r="F1694" s="28"/>
    </row>
    <row r="1695" spans="1:6" x14ac:dyDescent="0.2">
      <c r="A1695" s="27"/>
      <c r="B1695" s="27"/>
      <c r="C1695" s="27"/>
      <c r="D1695" s="35"/>
      <c r="E1695" s="28"/>
      <c r="F1695" s="28"/>
    </row>
    <row r="1696" spans="1:6" x14ac:dyDescent="0.2">
      <c r="A1696" s="27"/>
      <c r="B1696" s="27"/>
      <c r="C1696" s="27"/>
      <c r="D1696" s="35"/>
      <c r="E1696" s="28"/>
      <c r="F1696" s="28"/>
    </row>
    <row r="1697" spans="1:6" x14ac:dyDescent="0.2">
      <c r="A1697" s="27"/>
      <c r="B1697" s="27"/>
      <c r="C1697" s="27"/>
      <c r="D1697" s="35"/>
      <c r="E1697" s="28"/>
      <c r="F1697" s="28"/>
    </row>
    <row r="1698" spans="1:6" x14ac:dyDescent="0.2">
      <c r="A1698" s="27"/>
      <c r="B1698" s="27"/>
      <c r="C1698" s="27"/>
      <c r="D1698" s="35"/>
      <c r="E1698" s="28"/>
      <c r="F1698" s="28"/>
    </row>
    <row r="1699" spans="1:6" x14ac:dyDescent="0.2">
      <c r="A1699" s="27"/>
      <c r="B1699" s="27"/>
      <c r="C1699" s="27"/>
      <c r="D1699" s="35"/>
      <c r="E1699" s="28"/>
      <c r="F1699" s="28"/>
    </row>
    <row r="1700" spans="1:6" x14ac:dyDescent="0.2">
      <c r="A1700" s="27"/>
      <c r="B1700" s="27"/>
      <c r="C1700" s="27"/>
      <c r="D1700" s="35"/>
      <c r="E1700" s="28"/>
      <c r="F1700" s="28"/>
    </row>
    <row r="1701" spans="1:6" x14ac:dyDescent="0.2">
      <c r="A1701" s="27"/>
      <c r="B1701" s="27"/>
      <c r="C1701" s="27"/>
      <c r="D1701" s="35"/>
      <c r="E1701" s="28"/>
      <c r="F1701" s="28"/>
    </row>
    <row r="1702" spans="1:6" x14ac:dyDescent="0.2">
      <c r="A1702" s="27"/>
      <c r="B1702" s="27"/>
      <c r="C1702" s="27"/>
      <c r="D1702" s="35"/>
      <c r="E1702" s="28"/>
      <c r="F1702" s="28"/>
    </row>
    <row r="1703" spans="1:6" x14ac:dyDescent="0.2">
      <c r="A1703" s="27"/>
      <c r="B1703" s="27"/>
      <c r="C1703" s="27"/>
      <c r="D1703" s="35"/>
      <c r="E1703" s="28"/>
      <c r="F1703" s="28"/>
    </row>
    <row r="1704" spans="1:6" x14ac:dyDescent="0.2">
      <c r="A1704" s="27"/>
      <c r="B1704" s="27"/>
      <c r="C1704" s="27"/>
      <c r="D1704" s="35"/>
      <c r="E1704" s="28"/>
      <c r="F1704" s="28"/>
    </row>
    <row r="1705" spans="1:6" x14ac:dyDescent="0.2">
      <c r="A1705" s="27"/>
      <c r="B1705" s="27"/>
      <c r="C1705" s="27"/>
      <c r="D1705" s="35"/>
      <c r="E1705" s="28"/>
      <c r="F1705" s="28"/>
    </row>
    <row r="1706" spans="1:6" x14ac:dyDescent="0.2">
      <c r="A1706" s="27"/>
      <c r="B1706" s="27"/>
      <c r="C1706" s="27"/>
      <c r="D1706" s="35"/>
      <c r="E1706" s="28"/>
      <c r="F1706" s="28"/>
    </row>
    <row r="1707" spans="1:6" x14ac:dyDescent="0.2">
      <c r="A1707" s="27"/>
      <c r="B1707" s="27"/>
      <c r="C1707" s="27"/>
      <c r="D1707" s="35"/>
      <c r="E1707" s="28"/>
      <c r="F1707" s="28"/>
    </row>
    <row r="1708" spans="1:6" x14ac:dyDescent="0.2">
      <c r="A1708" s="27"/>
      <c r="B1708" s="27"/>
      <c r="C1708" s="27"/>
      <c r="D1708" s="35"/>
      <c r="E1708" s="28"/>
      <c r="F1708" s="28"/>
    </row>
    <row r="1709" spans="1:6" x14ac:dyDescent="0.2">
      <c r="A1709" s="27"/>
      <c r="B1709" s="27"/>
      <c r="C1709" s="27"/>
      <c r="D1709" s="35"/>
      <c r="E1709" s="28"/>
      <c r="F1709" s="28"/>
    </row>
    <row r="1710" spans="1:6" x14ac:dyDescent="0.2">
      <c r="A1710" s="27"/>
      <c r="B1710" s="27"/>
      <c r="C1710" s="27"/>
      <c r="D1710" s="35"/>
      <c r="E1710" s="28"/>
      <c r="F1710" s="28"/>
    </row>
    <row r="1711" spans="1:6" x14ac:dyDescent="0.2">
      <c r="A1711" s="27"/>
      <c r="B1711" s="27"/>
      <c r="C1711" s="27"/>
      <c r="D1711" s="35"/>
      <c r="E1711" s="28"/>
      <c r="F1711" s="28"/>
    </row>
    <row r="1712" spans="1:6" x14ac:dyDescent="0.2">
      <c r="A1712" s="27"/>
      <c r="B1712" s="27"/>
      <c r="C1712" s="27"/>
      <c r="D1712" s="35"/>
      <c r="E1712" s="28"/>
      <c r="F1712" s="28"/>
    </row>
    <row r="1713" spans="1:6" x14ac:dyDescent="0.2">
      <c r="A1713" s="27"/>
      <c r="B1713" s="27"/>
      <c r="C1713" s="27"/>
      <c r="D1713" s="35"/>
      <c r="E1713" s="28"/>
      <c r="F1713" s="28"/>
    </row>
    <row r="1714" spans="1:6" x14ac:dyDescent="0.2">
      <c r="A1714" s="27"/>
      <c r="B1714" s="27"/>
      <c r="C1714" s="27"/>
      <c r="D1714" s="35"/>
      <c r="E1714" s="28"/>
      <c r="F1714" s="28"/>
    </row>
    <row r="1715" spans="1:6" x14ac:dyDescent="0.2">
      <c r="A1715" s="27"/>
      <c r="B1715" s="27"/>
      <c r="C1715" s="27"/>
      <c r="D1715" s="35"/>
      <c r="E1715" s="28"/>
      <c r="F1715" s="28"/>
    </row>
    <row r="1716" spans="1:6" x14ac:dyDescent="0.2">
      <c r="A1716" s="27"/>
      <c r="B1716" s="27"/>
      <c r="C1716" s="27"/>
      <c r="D1716" s="35"/>
      <c r="E1716" s="28"/>
      <c r="F1716" s="28"/>
    </row>
    <row r="1717" spans="1:6" x14ac:dyDescent="0.2">
      <c r="A1717" s="27"/>
      <c r="B1717" s="27"/>
      <c r="C1717" s="27"/>
      <c r="D1717" s="35"/>
      <c r="E1717" s="28"/>
      <c r="F1717" s="28"/>
    </row>
    <row r="1718" spans="1:6" x14ac:dyDescent="0.2">
      <c r="A1718" s="27"/>
      <c r="B1718" s="27"/>
      <c r="C1718" s="27"/>
      <c r="D1718" s="35"/>
      <c r="E1718" s="28"/>
      <c r="F1718" s="28"/>
    </row>
    <row r="1719" spans="1:6" x14ac:dyDescent="0.2">
      <c r="A1719" s="27"/>
      <c r="B1719" s="27"/>
      <c r="C1719" s="27"/>
      <c r="D1719" s="35"/>
      <c r="E1719" s="28"/>
      <c r="F1719" s="28"/>
    </row>
    <row r="1720" spans="1:6" x14ac:dyDescent="0.2">
      <c r="A1720" s="27"/>
      <c r="B1720" s="27"/>
      <c r="C1720" s="27"/>
      <c r="D1720" s="35"/>
      <c r="E1720" s="28"/>
      <c r="F1720" s="28"/>
    </row>
    <row r="1721" spans="1:6" x14ac:dyDescent="0.2">
      <c r="A1721" s="27"/>
      <c r="B1721" s="27"/>
      <c r="C1721" s="27"/>
      <c r="D1721" s="35"/>
      <c r="E1721" s="28"/>
      <c r="F1721" s="28"/>
    </row>
    <row r="1722" spans="1:6" x14ac:dyDescent="0.2">
      <c r="A1722" s="27"/>
      <c r="B1722" s="27"/>
      <c r="C1722" s="27"/>
      <c r="D1722" s="35"/>
      <c r="E1722" s="28"/>
      <c r="F1722" s="28"/>
    </row>
    <row r="1723" spans="1:6" x14ac:dyDescent="0.2">
      <c r="A1723" s="27"/>
      <c r="B1723" s="27"/>
      <c r="C1723" s="27"/>
      <c r="D1723" s="35"/>
      <c r="E1723" s="28"/>
      <c r="F1723" s="28"/>
    </row>
    <row r="1724" spans="1:6" x14ac:dyDescent="0.2">
      <c r="A1724" s="27"/>
      <c r="B1724" s="27"/>
      <c r="C1724" s="27"/>
      <c r="D1724" s="35"/>
      <c r="E1724" s="28"/>
      <c r="F1724" s="28"/>
    </row>
    <row r="1725" spans="1:6" x14ac:dyDescent="0.2">
      <c r="A1725" s="27"/>
      <c r="B1725" s="27"/>
      <c r="C1725" s="27"/>
      <c r="D1725" s="35"/>
      <c r="E1725" s="28"/>
      <c r="F1725" s="28"/>
    </row>
    <row r="1726" spans="1:6" x14ac:dyDescent="0.2">
      <c r="A1726" s="27"/>
      <c r="B1726" s="27"/>
      <c r="C1726" s="27"/>
      <c r="D1726" s="35"/>
      <c r="E1726" s="28"/>
      <c r="F1726" s="28"/>
    </row>
    <row r="1727" spans="1:6" x14ac:dyDescent="0.2">
      <c r="A1727" s="27"/>
      <c r="B1727" s="27"/>
      <c r="C1727" s="27"/>
      <c r="D1727" s="35"/>
      <c r="E1727" s="28"/>
      <c r="F1727" s="28"/>
    </row>
    <row r="1728" spans="1:6" x14ac:dyDescent="0.2">
      <c r="A1728" s="27"/>
      <c r="B1728" s="27"/>
      <c r="C1728" s="27"/>
      <c r="D1728" s="35"/>
      <c r="E1728" s="28"/>
      <c r="F1728" s="28"/>
    </row>
    <row r="1729" spans="1:6" x14ac:dyDescent="0.2">
      <c r="A1729" s="27"/>
      <c r="B1729" s="27"/>
      <c r="C1729" s="27"/>
      <c r="D1729" s="35"/>
      <c r="E1729" s="28"/>
      <c r="F1729" s="28"/>
    </row>
    <row r="1730" spans="1:6" x14ac:dyDescent="0.2">
      <c r="A1730" s="27"/>
      <c r="B1730" s="27"/>
      <c r="C1730" s="27"/>
      <c r="D1730" s="35"/>
      <c r="E1730" s="28"/>
      <c r="F1730" s="28"/>
    </row>
    <row r="1731" spans="1:6" x14ac:dyDescent="0.2">
      <c r="A1731" s="27"/>
      <c r="B1731" s="27"/>
      <c r="C1731" s="27"/>
      <c r="D1731" s="35"/>
      <c r="E1731" s="28"/>
      <c r="F1731" s="28"/>
    </row>
    <row r="1732" spans="1:6" x14ac:dyDescent="0.2">
      <c r="A1732" s="27"/>
      <c r="B1732" s="27"/>
      <c r="C1732" s="27"/>
      <c r="D1732" s="35"/>
      <c r="E1732" s="28"/>
      <c r="F1732" s="28"/>
    </row>
    <row r="1733" spans="1:6" x14ac:dyDescent="0.2">
      <c r="A1733" s="27"/>
      <c r="B1733" s="27"/>
      <c r="C1733" s="27"/>
      <c r="D1733" s="35"/>
      <c r="E1733" s="28"/>
      <c r="F1733" s="28"/>
    </row>
    <row r="1734" spans="1:6" x14ac:dyDescent="0.2">
      <c r="A1734" s="27"/>
      <c r="B1734" s="27"/>
      <c r="C1734" s="27"/>
      <c r="D1734" s="35"/>
      <c r="E1734" s="28"/>
      <c r="F1734" s="28"/>
    </row>
    <row r="1735" spans="1:6" x14ac:dyDescent="0.2">
      <c r="A1735" s="27"/>
      <c r="B1735" s="27"/>
      <c r="C1735" s="27"/>
      <c r="D1735" s="35"/>
      <c r="E1735" s="28"/>
      <c r="F1735" s="28"/>
    </row>
    <row r="1736" spans="1:6" x14ac:dyDescent="0.2">
      <c r="A1736" s="27"/>
      <c r="B1736" s="27"/>
      <c r="C1736" s="27"/>
      <c r="D1736" s="35"/>
      <c r="E1736" s="28"/>
      <c r="F1736" s="28"/>
    </row>
    <row r="1737" spans="1:6" x14ac:dyDescent="0.2">
      <c r="A1737" s="27"/>
      <c r="B1737" s="27"/>
      <c r="C1737" s="27"/>
      <c r="D1737" s="35"/>
      <c r="E1737" s="28"/>
      <c r="F1737" s="28"/>
    </row>
    <row r="1738" spans="1:6" x14ac:dyDescent="0.2">
      <c r="A1738" s="27"/>
      <c r="B1738" s="27"/>
      <c r="C1738" s="27"/>
      <c r="D1738" s="35"/>
      <c r="E1738" s="28"/>
      <c r="F1738" s="28"/>
    </row>
    <row r="1739" spans="1:6" x14ac:dyDescent="0.2">
      <c r="A1739" s="27"/>
      <c r="B1739" s="27"/>
      <c r="C1739" s="27"/>
      <c r="D1739" s="35"/>
      <c r="E1739" s="28"/>
      <c r="F1739" s="28"/>
    </row>
    <row r="1740" spans="1:6" x14ac:dyDescent="0.2">
      <c r="A1740" s="27"/>
      <c r="B1740" s="27"/>
      <c r="C1740" s="27"/>
      <c r="D1740" s="35"/>
      <c r="E1740" s="28"/>
      <c r="F1740" s="28"/>
    </row>
    <row r="1741" spans="1:6" x14ac:dyDescent="0.2">
      <c r="A1741" s="27"/>
      <c r="B1741" s="27"/>
      <c r="C1741" s="27"/>
      <c r="D1741" s="35"/>
      <c r="E1741" s="28"/>
      <c r="F1741" s="28"/>
    </row>
    <row r="1742" spans="1:6" x14ac:dyDescent="0.2">
      <c r="A1742" s="27"/>
      <c r="B1742" s="27"/>
      <c r="C1742" s="27"/>
      <c r="D1742" s="35"/>
      <c r="E1742" s="28"/>
      <c r="F1742" s="28"/>
    </row>
    <row r="1743" spans="1:6" x14ac:dyDescent="0.2">
      <c r="A1743" s="27"/>
      <c r="B1743" s="27"/>
      <c r="C1743" s="27"/>
      <c r="D1743" s="35"/>
      <c r="E1743" s="28"/>
      <c r="F1743" s="28"/>
    </row>
  </sheetData>
  <phoneticPr fontId="1" type="noConversion"/>
  <pageMargins left="0.25" right="0.25" top="0.5" bottom="0.5" header="0" footer="0"/>
  <pageSetup paperSize="10277" orientation="landscape" horizontalDpi="4294967293" verticalDpi="4294967293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pageSetUpPr fitToPage="1"/>
  </sheetPr>
  <dimension ref="P57"/>
  <sheetViews>
    <sheetView topLeftCell="AC1" zoomScaleNormal="100" workbookViewId="0">
      <selection activeCell="P50" sqref="P50"/>
    </sheetView>
  </sheetViews>
  <sheetFormatPr defaultRowHeight="13.2" x14ac:dyDescent="0.25"/>
  <sheetData>
    <row r="57" spans="16:16" x14ac:dyDescent="0.25">
      <c r="P57" t="s">
        <v>22</v>
      </c>
    </row>
  </sheetData>
  <phoneticPr fontId="1" type="noConversion"/>
  <pageMargins left="0" right="0" top="0" bottom="0" header="0" footer="0"/>
  <pageSetup paperSize="26" scale="25" orientation="landscape" horizontalDpi="4294967293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72F52058490E64E874F64AF3A86EBA7" ma:contentTypeVersion="16" ma:contentTypeDescription="Create a new document." ma:contentTypeScope="" ma:versionID="08ca577ab31183b507441c53629978eb">
  <xsd:schema xmlns:xsd="http://www.w3.org/2001/XMLSchema" xmlns:xs="http://www.w3.org/2001/XMLSchema" xmlns:p="http://schemas.microsoft.com/office/2006/metadata/properties" xmlns:ns2="f5d1cfba-a72f-487e-9a94-7e7633315af1" xmlns:ns3="37f6cb9d-2bdd-491c-b95d-feb561dbaa82" targetNamespace="http://schemas.microsoft.com/office/2006/metadata/properties" ma:root="true" ma:fieldsID="f708442a295bddea84f7de15263e7b96" ns2:_="" ns3:_="">
    <xsd:import namespace="f5d1cfba-a72f-487e-9a94-7e7633315af1"/>
    <xsd:import namespace="37f6cb9d-2bdd-491c-b95d-feb561dbaa8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d1cfba-a72f-487e-9a94-7e7633315af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afa0ced9-80b8-4ef5-b3ac-16e0cf3f0ad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7f6cb9d-2bdd-491c-b95d-feb561dbaa8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2878429e-d14a-439b-b001-081e8c31a142}" ma:internalName="TaxCatchAll" ma:showField="CatchAllData" ma:web="37f6cb9d-2bdd-491c-b95d-feb561dbaa8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5d1cfba-a72f-487e-9a94-7e7633315af1">
      <Terms xmlns="http://schemas.microsoft.com/office/infopath/2007/PartnerControls"/>
    </lcf76f155ced4ddcb4097134ff3c332f>
    <TaxCatchAll xmlns="37f6cb9d-2bdd-491c-b95d-feb561dbaa82" xsi:nil="true"/>
    <SharedWithUsers xmlns="37f6cb9d-2bdd-491c-b95d-feb561dbaa82">
      <UserInfo>
        <DisplayName/>
        <AccountId xsi:nil="true"/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A3684F41-3785-4C70-BF33-E9CF8881D1E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E213096-9006-4391-9C67-0F1A1E0B721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d1cfba-a72f-487e-9a94-7e7633315af1"/>
    <ds:schemaRef ds:uri="37f6cb9d-2bdd-491c-b95d-feb561dbaa8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F1F50A1-613E-497A-A3FE-9543586F7AEA}">
  <ds:schemaRefs>
    <ds:schemaRef ds:uri="http://schemas.microsoft.com/office/2006/metadata/properties"/>
    <ds:schemaRef ds:uri="http://schemas.microsoft.com/office/infopath/2007/PartnerControls"/>
    <ds:schemaRef ds:uri="f5d1cfba-a72f-487e-9a94-7e7633315af1"/>
    <ds:schemaRef ds:uri="37f6cb9d-2bdd-491c-b95d-feb561dbaa82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Modeler</vt:lpstr>
      <vt:lpstr>Chart - Compl</vt:lpstr>
      <vt:lpstr>Modeler!Print_Area</vt:lpstr>
    </vt:vector>
  </TitlesOfParts>
  <Manager/>
  <Company>Anadarko Petroleum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jcaron</dc:creator>
  <cp:keywords/>
  <dc:description/>
  <cp:lastModifiedBy>Adam Bradley</cp:lastModifiedBy>
  <cp:revision/>
  <dcterms:created xsi:type="dcterms:W3CDTF">2010-10-15T17:39:32Z</dcterms:created>
  <dcterms:modified xsi:type="dcterms:W3CDTF">2022-12-08T20:56:56Z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0x010100B72F52058490E64E874F64AF3A86EBA7</vt:lpwstr>
  </property>
  <property fmtid="{D5CDD505-2E9C-101B-9397-08002B2CF9AE}" pid="3" name="Order">
    <vt:r8>175000</vt:r8>
  </property>
  <property fmtid="{D5CDD505-2E9C-101B-9397-08002B2CF9AE}" pid="4" name="_ExtendedDescription">
    <vt:lpwstr/>
  </property>
  <property fmtid="{D5CDD505-2E9C-101B-9397-08002B2CF9AE}" pid="5" name="TriggerFlowInfo">
    <vt:lpwstr/>
  </property>
  <property fmtid="{D5CDD505-2E9C-101B-9397-08002B2CF9AE}" pid="6" name="ComplianceAssetId">
    <vt:lpwstr/>
  </property>
  <property fmtid="{D5CDD505-2E9C-101B-9397-08002B2CF9AE}" pid="7" name="MediaServiceImageTags">
    <vt:lpwstr/>
  </property>
</Properties>
</file>